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ackup_code\unblocking_icq_phase1\"/>
    </mc:Choice>
  </mc:AlternateContent>
  <xr:revisionPtr revIDLastSave="0" documentId="13_ncr:1_{4A310D4C-21A1-4A19-A390-74685B7538D7}" xr6:coauthVersionLast="47" xr6:coauthVersionMax="47" xr10:uidLastSave="{00000000-0000-0000-0000-000000000000}"/>
  <bookViews>
    <workbookView xWindow="-110" yWindow="-110" windowWidth="19420" windowHeight="11500" tabRatio="896" xr2:uid="{00000000-000D-0000-FFFF-FFFF00000000}"/>
  </bookViews>
  <sheets>
    <sheet name="Iteration1_Evals" sheetId="10" r:id="rId1"/>
    <sheet name="Iteration2_Evals" sheetId="11" r:id="rId2"/>
    <sheet name="Iteration3_Evals" sheetId="13" r:id="rId3"/>
    <sheet name="other" sheetId="12" r:id="rId4"/>
    <sheet name="1_LLM_Metrics" sheetId="2" r:id="rId5"/>
    <sheet name="2_RAG_Metrics" sheetId="3" r:id="rId6"/>
    <sheet name="3_SQL_Metrics" sheetId="4" r:id="rId7"/>
    <sheet name="4_Application_Metrics" sheetId="5" r:id="rId8"/>
    <sheet name="5_Cost_Metrics" sheetId="6" r:id="rId9"/>
    <sheet name="6_User_Experience" sheetId="7" r:id="rId10"/>
    <sheet name="8_Optimization_Impact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3" l="1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4" i="13"/>
  <c r="H6" i="13"/>
  <c r="H5" i="13"/>
  <c r="H4" i="13"/>
  <c r="H3" i="13"/>
  <c r="H11" i="10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4" i="11"/>
  <c r="H6" i="11"/>
  <c r="H5" i="11"/>
  <c r="H4" i="11"/>
  <c r="H3" i="1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0" i="10"/>
  <c r="H9" i="10"/>
  <c r="H8" i="10"/>
  <c r="H7" i="10"/>
  <c r="H6" i="10"/>
  <c r="H5" i="10"/>
  <c r="H4" i="10"/>
  <c r="H3" i="10"/>
</calcChain>
</file>

<file path=xl/sharedStrings.xml><?xml version="1.0" encoding="utf-8"?>
<sst xmlns="http://schemas.openxmlformats.org/spreadsheetml/2006/main" count="1003" uniqueCount="432">
  <si>
    <t>Metric Name</t>
  </si>
  <si>
    <t>Category</t>
  </si>
  <si>
    <t>Target</t>
  </si>
  <si>
    <t>Alert Threshold</t>
  </si>
  <si>
    <t>Baseline</t>
  </si>
  <si>
    <t>Current Value</t>
  </si>
  <si>
    <t>Trend</t>
  </si>
  <si>
    <t>Status</t>
  </si>
  <si>
    <t>Last Updated</t>
  </si>
  <si>
    <t>Notes</t>
  </si>
  <si>
    <t>Action Items</t>
  </si>
  <si>
    <t>JSON Parse Success Rate</t>
  </si>
  <si>
    <t>Quality</t>
  </si>
  <si>
    <t>&gt;95%</t>
  </si>
  <si>
    <t>&lt;90%</t>
  </si>
  <si>
    <t>→</t>
  </si>
  <si>
    <t>🟢</t>
  </si>
  <si>
    <t>LLM Response Latency (P50)</t>
  </si>
  <si>
    <t>Performance</t>
  </si>
  <si>
    <t>&lt;2s</t>
  </si>
  <si>
    <t>&gt;3s</t>
  </si>
  <si>
    <t>LLM Response Latency (P95)</t>
  </si>
  <si>
    <t>&lt;5s</t>
  </si>
  <si>
    <t>&gt;8s</t>
  </si>
  <si>
    <t>LLM Response Latency (P99)</t>
  </si>
  <si>
    <t>&lt;10s</t>
  </si>
  <si>
    <t>&gt;15s</t>
  </si>
  <si>
    <t>LLM Relevance Score (Avg)</t>
  </si>
  <si>
    <t>&gt;8/10</t>
  </si>
  <si>
    <t>&lt;6/10</t>
  </si>
  <si>
    <t>Hallucination Rate</t>
  </si>
  <si>
    <t>&lt;5%</t>
  </si>
  <si>
    <t>&gt;10%</t>
  </si>
  <si>
    <t>LLM Error Rate</t>
  </si>
  <si>
    <t>Reliability</t>
  </si>
  <si>
    <t>&lt;2%</t>
  </si>
  <si>
    <t>&gt;5%</t>
  </si>
  <si>
    <t>LLM Timeout Rate</t>
  </si>
  <si>
    <t>&lt;1%</t>
  </si>
  <si>
    <t>&gt;3%</t>
  </si>
  <si>
    <t>Input Tokens (Avg)</t>
  </si>
  <si>
    <t>Cost</t>
  </si>
  <si>
    <t>&lt;500</t>
  </si>
  <si>
    <t>&gt;1000</t>
  </si>
  <si>
    <t>Output Tokens (Avg)</t>
  </si>
  <si>
    <t>&lt;300</t>
  </si>
  <si>
    <t>&gt;600</t>
  </si>
  <si>
    <t>Cost per LLM Call</t>
  </si>
  <si>
    <t>&lt;$0.005</t>
  </si>
  <si>
    <t>&gt;$0.01</t>
  </si>
  <si>
    <t>Cache Hit Rate (LLM)</t>
  </si>
  <si>
    <t>Efficiency</t>
  </si>
  <si>
    <t>&gt;50%</t>
  </si>
  <si>
    <t>&lt;30%</t>
  </si>
  <si>
    <t>LLM METRICS BY NODE FUNCTION</t>
  </si>
  <si>
    <t>Node Function</t>
  </si>
  <si>
    <t>Calls/Day</t>
  </si>
  <si>
    <t>Avg Latency</t>
  </si>
  <si>
    <t>Success Rate</t>
  </si>
  <si>
    <t>Avg Cost</t>
  </si>
  <si>
    <t>Cache Hit %</t>
  </si>
  <si>
    <t>P95 Latency</t>
  </si>
  <si>
    <t>diagevents_synthesize_response</t>
  </si>
  <si>
    <t>pgicq_synthesize_response</t>
  </si>
  <si>
    <t>pgicq_gap_validate_sections</t>
  </si>
  <si>
    <t>pgicq_gap_identify_modifications</t>
  </si>
  <si>
    <t>pgicq_gap_find_missing_sections</t>
  </si>
  <si>
    <t>pgicq_gap_synthesize_report</t>
  </si>
  <si>
    <t>TOTAL</t>
  </si>
  <si>
    <t>RAG Query Latency (P50)</t>
  </si>
  <si>
    <t>&lt;300ms</t>
  </si>
  <si>
    <t>&gt;500ms</t>
  </si>
  <si>
    <t>RAG Query Latency (P95)</t>
  </si>
  <si>
    <t>&lt;500ms</t>
  </si>
  <si>
    <t>&gt;800ms</t>
  </si>
  <si>
    <t>RAG Query Latency (P99)</t>
  </si>
  <si>
    <t>&lt;800ms</t>
  </si>
  <si>
    <t>&gt;1200ms</t>
  </si>
  <si>
    <t>Precision@5</t>
  </si>
  <si>
    <t>&gt;75%</t>
  </si>
  <si>
    <t>&lt;60%</t>
  </si>
  <si>
    <t>Precision@10</t>
  </si>
  <si>
    <t>&gt;70%</t>
  </si>
  <si>
    <t>&lt;55%</t>
  </si>
  <si>
    <t>Recall@5</t>
  </si>
  <si>
    <t>&gt;60%</t>
  </si>
  <si>
    <t>&lt;45%</t>
  </si>
  <si>
    <t>Recall@10</t>
  </si>
  <si>
    <t>&gt;80%</t>
  </si>
  <si>
    <t>&lt;65%</t>
  </si>
  <si>
    <t>Mean Reciprocal Rank (MRR)</t>
  </si>
  <si>
    <t>&gt;0.7</t>
  </si>
  <si>
    <t>&lt;0.5</t>
  </si>
  <si>
    <t>Avg Semantic Similarity</t>
  </si>
  <si>
    <t>&gt;0.75</t>
  </si>
  <si>
    <t>&lt;0.6</t>
  </si>
  <si>
    <t>Embedding Latency</t>
  </si>
  <si>
    <t>&lt;100ms</t>
  </si>
  <si>
    <t>&gt;200ms</t>
  </si>
  <si>
    <t>Vector Search Latency</t>
  </si>
  <si>
    <t>&lt;200ms</t>
  </si>
  <si>
    <t>&gt;400ms</t>
  </si>
  <si>
    <t>Cache Hit Rate (RAG)</t>
  </si>
  <si>
    <t>&gt;40%</t>
  </si>
  <si>
    <t>&lt;25%</t>
  </si>
  <si>
    <t>Cost per RAG Query</t>
  </si>
  <si>
    <t>&lt;$0.001</t>
  </si>
  <si>
    <t>&gt;$0.003</t>
  </si>
  <si>
    <t>Docs Retrieved per Query</t>
  </si>
  <si>
    <t>Behavior</t>
  </si>
  <si>
    <t>~10</t>
  </si>
  <si>
    <t>&gt;15</t>
  </si>
  <si>
    <t>Zero Results Rate</t>
  </si>
  <si>
    <t>RAG METRICS BY FUNCTION</t>
  </si>
  <si>
    <t>Function</t>
  </si>
  <si>
    <t>Queries/Day</t>
  </si>
  <si>
    <t>MRR</t>
  </si>
  <si>
    <t>pgicq_kb_query (queue)</t>
  </si>
  <si>
    <t>pgicq_kb_query_generic (gap)</t>
  </si>
  <si>
    <t>pgicq_gap_fetch_compliance_requirements</t>
  </si>
  <si>
    <t>pgicq_gap_fetch_technical_tests</t>
  </si>
  <si>
    <t>pgicq_gap_analyze_queue_wait</t>
  </si>
  <si>
    <t>pgicq_gap_assess_risks</t>
  </si>
  <si>
    <t>pgicq_gap_identify_environmental</t>
  </si>
  <si>
    <t>SQL DATABASE METRICS</t>
  </si>
  <si>
    <t>Query Latency (P50)</t>
  </si>
  <si>
    <t>&lt;50ms</t>
  </si>
  <si>
    <t>&gt;100ms</t>
  </si>
  <si>
    <t>Query Latency (P95)</t>
  </si>
  <si>
    <t>Query Latency (P99)</t>
  </si>
  <si>
    <t>&gt;1000ms</t>
  </si>
  <si>
    <t>Connection Pool Usage</t>
  </si>
  <si>
    <t>Resources</t>
  </si>
  <si>
    <t>&lt;80%</t>
  </si>
  <si>
    <t>&gt;90%</t>
  </si>
  <si>
    <t>Active Connections</t>
  </si>
  <si>
    <t>&lt;20</t>
  </si>
  <si>
    <t>&gt;40</t>
  </si>
  <si>
    <t>Slow Query Rate</t>
  </si>
  <si>
    <t>Query Error Rate</t>
  </si>
  <si>
    <t>Cache Hit Rate (Query)</t>
  </si>
  <si>
    <t>&lt;40%</t>
  </si>
  <si>
    <t>Database Size</t>
  </si>
  <si>
    <t>Storage</t>
  </si>
  <si>
    <t>&lt;1GB</t>
  </si>
  <si>
    <t>&gt;5GB</t>
  </si>
  <si>
    <t>Index Usage Rate</t>
  </si>
  <si>
    <t>&lt;70%</t>
  </si>
  <si>
    <t>Full Table Scan Rate</t>
  </si>
  <si>
    <t>&gt;15%</t>
  </si>
  <si>
    <t>Deadlock Rate</t>
  </si>
  <si>
    <t>0</t>
  </si>
  <si>
    <t>&gt;1/day</t>
  </si>
  <si>
    <t>SQL QUERY PERFORMANCE BY TYPE</t>
  </si>
  <si>
    <t>Query Type</t>
  </si>
  <si>
    <t>Index Used</t>
  </si>
  <si>
    <t>Rows Scanned</t>
  </si>
  <si>
    <t>Last 24 hours events</t>
  </si>
  <si>
    <t>High severity events</t>
  </si>
  <si>
    <t>Events by type</t>
  </si>
  <si>
    <t>Last 7 days events</t>
  </si>
  <si>
    <t>Count by severity</t>
  </si>
  <si>
    <t>Events with joins</t>
  </si>
  <si>
    <t>Gap analysis diagnostics</t>
  </si>
  <si>
    <t>Overall Uptime</t>
  </si>
  <si>
    <t>&gt;99.9%</t>
  </si>
  <si>
    <t>&lt;99.5%</t>
  </si>
  <si>
    <t>Total Error Rate</t>
  </si>
  <si>
    <t>Requests per Minute</t>
  </si>
  <si>
    <t>Throughput</t>
  </si>
  <si>
    <t>&gt;10</t>
  </si>
  <si>
    <t>&lt;5</t>
  </si>
  <si>
    <t>CPU Usage (Avg)</t>
  </si>
  <si>
    <t>&gt;85%</t>
  </si>
  <si>
    <t>Memory Usage (Avg)</t>
  </si>
  <si>
    <t>Disk Usage</t>
  </si>
  <si>
    <t>&lt;85%</t>
  </si>
  <si>
    <t>Network I/O (Avg)</t>
  </si>
  <si>
    <t>Concurrent Users</t>
  </si>
  <si>
    <t>Usage</t>
  </si>
  <si>
    <t>-</t>
  </si>
  <si>
    <t>&gt;100</t>
  </si>
  <si>
    <t>User Session Duration</t>
  </si>
  <si>
    <t>&gt;5min</t>
  </si>
  <si>
    <t>&lt;2min</t>
  </si>
  <si>
    <t>Queries per Session</t>
  </si>
  <si>
    <t>&gt;3</t>
  </si>
  <si>
    <t>&lt;2</t>
  </si>
  <si>
    <t>APPLICATION PERFORMANCE BY FEATURE</t>
  </si>
  <si>
    <t>Feature</t>
  </si>
  <si>
    <t>Requests/Day</t>
  </si>
  <si>
    <t>User Satisfaction</t>
  </si>
  <si>
    <t>Diagnostics Query</t>
  </si>
  <si>
    <t>Queue Query</t>
  </si>
  <si>
    <t>Gap Analysis (Full)</t>
  </si>
  <si>
    <t>PDF Upload</t>
  </si>
  <si>
    <t>Report Download</t>
  </si>
  <si>
    <t>Sample Questions</t>
  </si>
  <si>
    <t>OVERALL</t>
  </si>
  <si>
    <t>GAP ANALYSIS PIPELINE BREAKDOWN</t>
  </si>
  <si>
    <t>Step</t>
  </si>
  <si>
    <t>Avg Time</t>
  </si>
  <si>
    <t>% of Total</t>
  </si>
  <si>
    <t>P95 Time</t>
  </si>
  <si>
    <t>Optimization Target</t>
  </si>
  <si>
    <t>1. PDF Extraction</t>
  </si>
  <si>
    <t>2. Section Validation</t>
  </si>
  <si>
    <t>3. Identify Modifications</t>
  </si>
  <si>
    <t>4. Find Missing Sections</t>
  </si>
  <si>
    <t>5. Fetch Compliance</t>
  </si>
  <si>
    <t>6. Fetch Technical Tests</t>
  </si>
  <si>
    <t>7. Queue Wait Analysis</t>
  </si>
  <si>
    <t>8. Risk Assessment</t>
  </si>
  <si>
    <t>9. Environmental Analysis</t>
  </si>
  <si>
    <t>10. Fetch Diagnostics</t>
  </si>
  <si>
    <t>11. Synthesize Report</t>
  </si>
  <si>
    <t>12. Generate DOCX</t>
  </si>
  <si>
    <t>100%</t>
  </si>
  <si>
    <t>Cost per Hour</t>
  </si>
  <si>
    <t>Budget</t>
  </si>
  <si>
    <t>&lt;$5</t>
  </si>
  <si>
    <t>&gt;$10</t>
  </si>
  <si>
    <t>Daily Cost</t>
  </si>
  <si>
    <t>&lt;$100</t>
  </si>
  <si>
    <t>&gt;$150</t>
  </si>
  <si>
    <t>Monthly Projection</t>
  </si>
  <si>
    <t>&lt;$2500</t>
  </si>
  <si>
    <t>&gt;$3500</t>
  </si>
  <si>
    <t>LLM Costs (Daily)</t>
  </si>
  <si>
    <t>&lt;$80</t>
  </si>
  <si>
    <t>&gt;$120</t>
  </si>
  <si>
    <t>Embedding Costs (Daily)</t>
  </si>
  <si>
    <t>Vector Store Compute</t>
  </si>
  <si>
    <t>&lt;$10</t>
  </si>
  <si>
    <t>&gt;$20</t>
  </si>
  <si>
    <t>Infrastructure Costs</t>
  </si>
  <si>
    <t>&lt;$15</t>
  </si>
  <si>
    <t>&gt;$25</t>
  </si>
  <si>
    <t>Cost per User</t>
  </si>
  <si>
    <t>Cost per Diagnostics Query</t>
  </si>
  <si>
    <t>&lt;$0.002</t>
  </si>
  <si>
    <t>&gt;$0.005</t>
  </si>
  <si>
    <t>Cost per Queue Query</t>
  </si>
  <si>
    <t>Cost per Gap Analysis</t>
  </si>
  <si>
    <t>&lt;$0.20</t>
  </si>
  <si>
    <t>&gt;$0.40</t>
  </si>
  <si>
    <t>Total Tokens per Day</t>
  </si>
  <si>
    <t>&lt;10M</t>
  </si>
  <si>
    <t>&gt;20M</t>
  </si>
  <si>
    <t>Cost Savings from Cache</t>
  </si>
  <si>
    <t>ROI</t>
  </si>
  <si>
    <t>&gt;$30</t>
  </si>
  <si>
    <t>Per day</t>
  </si>
  <si>
    <t>COST BREAKDOWN BY COMPONENT</t>
  </si>
  <si>
    <t>Component</t>
  </si>
  <si>
    <t>Growth Rate</t>
  </si>
  <si>
    <t>Optimization Potential</t>
  </si>
  <si>
    <t>LLM API (GPT-5-mini)</t>
  </si>
  <si>
    <t>High</t>
  </si>
  <si>
    <t>LLM API (GPT-3.5)</t>
  </si>
  <si>
    <t>Embedding API</t>
  </si>
  <si>
    <t>Medium</t>
  </si>
  <si>
    <t>Vector Store (ChromaDB)</t>
  </si>
  <si>
    <t>Database (SQLite)</t>
  </si>
  <si>
    <t>Low</t>
  </si>
  <si>
    <t>Streamlit Hosting</t>
  </si>
  <si>
    <t>Cache (Redis)</t>
  </si>
  <si>
    <t>USER EXPERIENCE METRICS</t>
  </si>
  <si>
    <t>Query Success Rate</t>
  </si>
  <si>
    <t>User Satisfaction Score</t>
  </si>
  <si>
    <t>Thumbs up %</t>
  </si>
  <si>
    <t>Retry Rate</t>
  </si>
  <si>
    <t>&lt;10%</t>
  </si>
  <si>
    <t>&gt;20%</t>
  </si>
  <si>
    <t>Bounce Rate</t>
  </si>
  <si>
    <t>Engagement</t>
  </si>
  <si>
    <t>Time to First Response</t>
  </si>
  <si>
    <t>&gt;5s</t>
  </si>
  <si>
    <t>Daily Active Users</t>
  </si>
  <si>
    <t>Growth</t>
  </si>
  <si>
    <t>Weekly Active Users</t>
  </si>
  <si>
    <t>7-Day Retention</t>
  </si>
  <si>
    <t>30-Day Retention</t>
  </si>
  <si>
    <t>&gt;30%</t>
  </si>
  <si>
    <t>&lt;20%</t>
  </si>
  <si>
    <t>Feature Adoption (Gap)</t>
  </si>
  <si>
    <t>&lt;15%</t>
  </si>
  <si>
    <t>% using gap</t>
  </si>
  <si>
    <t>OPTIMIZATION IMPACT TRACKING</t>
  </si>
  <si>
    <t>Optimization</t>
  </si>
  <si>
    <t>Implemented</t>
  </si>
  <si>
    <t>Expected Impact</t>
  </si>
  <si>
    <t>Measured Impact</t>
  </si>
  <si>
    <t>Cost Before</t>
  </si>
  <si>
    <t>Cost After</t>
  </si>
  <si>
    <t>Latency Before</t>
  </si>
  <si>
    <t>Latency After</t>
  </si>
  <si>
    <t>ROI %</t>
  </si>
  <si>
    <t>Database Indexes</t>
  </si>
  <si>
    <t>10x faster</t>
  </si>
  <si>
    <t>LLM Caching</t>
  </si>
  <si>
    <t>60% faster</t>
  </si>
  <si>
    <t>RAG Caching</t>
  </si>
  <si>
    <t>50% faster</t>
  </si>
  <si>
    <t>PDF Caching</t>
  </si>
  <si>
    <t>Skip 10s</t>
  </si>
  <si>
    <t>Parallel RAG Queries</t>
  </si>
  <si>
    <t>3.5s saved</t>
  </si>
  <si>
    <t>Batch LLM Calls</t>
  </si>
  <si>
    <t>30% cost save</t>
  </si>
  <si>
    <t>Streaming Responses</t>
  </si>
  <si>
    <t>Better UX</t>
  </si>
  <si>
    <t>Connection Pooling</t>
  </si>
  <si>
    <t>Prompt Optimization</t>
  </si>
  <si>
    <t>40% cost save</t>
  </si>
  <si>
    <t>Intelligent Model Selection</t>
  </si>
  <si>
    <t>27% cost save</t>
  </si>
  <si>
    <t>Iteration #1: Evals and measurements</t>
  </si>
  <si>
    <t>Component/ Module</t>
  </si>
  <si>
    <t>Measurement</t>
  </si>
  <si>
    <t>Metric</t>
  </si>
  <si>
    <t>Actual / 
Measured
Trial - 1</t>
  </si>
  <si>
    <t>Actual / 
Measured
Trial - 2</t>
  </si>
  <si>
    <t>Actual / 
Measured
Trial - 3</t>
  </si>
  <si>
    <t>Avg of trial 1, 2 &amp; 3</t>
  </si>
  <si>
    <t>*</t>
  </si>
  <si>
    <t>SQL query generation</t>
  </si>
  <si>
    <t>Syntax Correctness</t>
  </si>
  <si>
    <t>Execution Success Rate 
(% queries that run without errors)</t>
  </si>
  <si>
    <t>Query Accuracy</t>
  </si>
  <si>
    <t>Precision/Recall on retrieved data</t>
  </si>
  <si>
    <t>Query Efficiency</t>
  </si>
  <si>
    <t>Query execution time</t>
  </si>
  <si>
    <t>Edge Cases</t>
  </si>
  <si>
    <t>False positive rate (returns wrong data)</t>
  </si>
  <si>
    <t>LLM Prompt Effectiveness</t>
  </si>
  <si>
    <t>Prompt Reliability</t>
  </si>
  <si>
    <t>Consistency score (same question → same SQL structure)</t>
  </si>
  <si>
    <t>Instruction Following</t>
  </si>
  <si>
    <t>Schema adherence rate</t>
  </si>
  <si>
    <t>Output Format</t>
  </si>
  <si>
    <t>Format compliance (no markdown, no extra text)</t>
  </si>
  <si>
    <t>Hallucination detection (non-existent columns/tables)</t>
  </si>
  <si>
    <t>Response Synthesis Quality</t>
  </si>
  <si>
    <t>Answer Relevance</t>
  </si>
  <si>
    <t>Semantic similarity to expected answer</t>
  </si>
  <si>
    <t>Accuracy</t>
  </si>
  <si>
    <t>Factual accuracy (all numbers match DB)</t>
  </si>
  <si>
    <t>Completeness</t>
  </si>
  <si>
    <t>Answer completeness score</t>
  </si>
  <si>
    <t>Clarity</t>
  </si>
  <si>
    <t>Readability score</t>
  </si>
  <si>
    <t>Human Eval rubric</t>
  </si>
  <si>
    <t>Relevance ( 1 to 5)</t>
  </si>
  <si>
    <t>Accuracy ( 1 to 5)</t>
  </si>
  <si>
    <t>Clarity ( 1 to 5)</t>
  </si>
  <si>
    <t>End-to-End Pipeline Performance</t>
  </si>
  <si>
    <t>Latency: Total time from question to answer</t>
  </si>
  <si>
    <t>P50, P95, P99</t>
  </si>
  <si>
    <t>Observed &gt;P50</t>
  </si>
  <si>
    <t>Success Rate: % of queries that complete successfully</t>
  </si>
  <si>
    <t>Overall success rate</t>
  </si>
  <si>
    <t>Error Recovery: How gracefully it handles failures</t>
  </si>
  <si>
    <t>Retry success rate</t>
  </si>
  <si>
    <t>LLM-Specific Metrics (gpt-5-mini)</t>
  </si>
  <si>
    <t>Token Usage</t>
  </si>
  <si>
    <t>Tokens per query (input + output)</t>
  </si>
  <si>
    <t>LLM-Specific Metrics</t>
  </si>
  <si>
    <t>Cost per query</t>
  </si>
  <si>
    <t>Response Quality</t>
  </si>
  <si>
    <t>Accuracy by model</t>
  </si>
  <si>
    <t>Response time</t>
  </si>
  <si>
    <t>Response time in sec</t>
  </si>
  <si>
    <t>Quality vs speed tradeoff</t>
  </si>
  <si>
    <t>Reasoning Effort</t>
  </si>
  <si>
    <t>LLM Prompt Effectiveness on userquery classifier</t>
  </si>
  <si>
    <t>RAG</t>
  </si>
  <si>
    <t xml:space="preserve">Consistency score </t>
  </si>
  <si>
    <t>Hallucination detection (non-existent data or tables)</t>
  </si>
  <si>
    <t>adherence rate to instructions</t>
  </si>
  <si>
    <t>Cost /  Latency</t>
  </si>
  <si>
    <t>Optimizations</t>
  </si>
  <si>
    <t>Guardrails</t>
  </si>
  <si>
    <t>Eval metrics/measurements</t>
  </si>
  <si>
    <t>Database query optimization (by indexes)</t>
  </si>
  <si>
    <t>RAG queries sequal execution in gap (asyncio)</t>
  </si>
  <si>
    <t>LLM call reduction (by batching all sections in one shot)</t>
  </si>
  <si>
    <t>RAG chunking strategy vary type of document</t>
  </si>
  <si>
    <t>concurrent user scenarios (lazy coding etc.)</t>
  </si>
  <si>
    <t>PDF extraction caching</t>
  </si>
  <si>
    <t>Cost/ Latency, Optimization, Guardrails and Evals</t>
  </si>
  <si>
    <t>better coverage</t>
  </si>
  <si>
    <t>reuse existing data</t>
  </si>
  <si>
    <t>Maximum margianl relevance
(balance relevance and diversity fetch_k=20): more docs</t>
  </si>
  <si>
    <t>skip the validation every time if first retrive successful.: saves 2-3 seconds</t>
  </si>
  <si>
    <t>Optimization on validation data</t>
  </si>
  <si>
    <t>sent only first 200 characters for validation instead of full chunk. Reduced  tokens, time and cost.</t>
  </si>
  <si>
    <t>relevance check optimization</t>
  </si>
  <si>
    <t>reduced relevance check prompt to use less tokens and faster response</t>
  </si>
  <si>
    <t>better quality</t>
  </si>
  <si>
    <t>relevance check instead of having same size for all searchable docs, top dos get more chunk (500), bottom docs get less size chunk (200).
Saved tokens and time too</t>
  </si>
  <si>
    <t>Optimized the cotext usage</t>
  </si>
  <si>
    <t>Instead of sending more content to LLM like up to 10K reduced to 3k size.</t>
  </si>
  <si>
    <r>
      <rPr>
        <b/>
        <sz val="9"/>
        <color theme="1"/>
        <rFont val="Verdana"/>
        <family val="2"/>
      </rPr>
      <t>Performance gain</t>
    </r>
    <r>
      <rPr>
        <sz val="9"/>
        <color theme="1"/>
        <rFont val="Verdana"/>
        <family val="2"/>
      </rPr>
      <t xml:space="preserve">
BEFORE:
- Query retrieval: 400-500ms (similarity search)
- Validation: 2-3s (LLM call)
- Synthesis: 3-5s (verbose prompt, 5000+ chars)
TOTAL: 6-9 seconds per query
AFTER:
- Query retrieval: 400-500ms (MMR - same speed)
- Validation: SKIPPED (0s for successful queries)
- Synthesis: 2-3s (concise prompt, 3000 chars max)
TOTAL: 2.5-4 seconds per query
SPEEDUP: 2-3x faster (60-70% time reduction)
</t>
    </r>
    <r>
      <rPr>
        <b/>
        <sz val="9"/>
        <color theme="1"/>
        <rFont val="Verdana"/>
        <family val="2"/>
      </rPr>
      <t xml:space="preserve">Cost Savings: </t>
    </r>
    <r>
      <rPr>
        <sz val="9"/>
        <color theme="1"/>
        <rFont val="Verdana"/>
        <family val="2"/>
      </rPr>
      <t xml:space="preserve">
BEFORE (per query):
- Retrieval: $0.0001 (embedding)
- Validation: $0.003 (LLM call)
- Synthesis: $0.005 (verbose prompt, 5000+ chars)
TOTAL: ~$0.008 per query
AFTER (per query):
- Retrieval: $0.0001 (embedding)
- Validation: $0 (skipped)
- Synthesis: $0.003 (concise prompt, 3000 chars)
TOTAL: ~$0.003 per query
SAVINGS: 60% cost reduction
</t>
    </r>
    <r>
      <rPr>
        <b/>
        <sz val="9"/>
        <color theme="1"/>
        <rFont val="Verdana"/>
        <family val="2"/>
      </rPr>
      <t>Quality Improvements:</t>
    </r>
    <r>
      <rPr>
        <sz val="9"/>
        <color theme="1"/>
        <rFont val="Verdana"/>
        <family val="2"/>
      </rPr>
      <t xml:space="preserve">
 Better diversity (MMR)
Top docs get more space (smart truncation)
Less redundant information
More focused answers
Better source coverage</t>
    </r>
  </si>
  <si>
    <t>LLM PERFORMANCE METRICS (yet to do)</t>
  </si>
  <si>
    <t>RAG (VECTOR STORE) METRICS (yet to do)</t>
  </si>
  <si>
    <t>9ms</t>
  </si>
  <si>
    <t>NA</t>
  </si>
  <si>
    <t>TBD</t>
  </si>
  <si>
    <t>END-TO-END APPLICATION METRICS (yet to do)</t>
  </si>
  <si>
    <t>COST METRICS (yet to do)</t>
  </si>
  <si>
    <t>&gt; 95%</t>
  </si>
  <si>
    <t>15 to 25 sec</t>
  </si>
  <si>
    <t>Iteration #3: Evals and measurements</t>
  </si>
  <si>
    <t>Iteration #2: Evals and measurements</t>
  </si>
  <si>
    <t xml:space="preserve">LLM API calls </t>
  </si>
  <si>
    <t>Iteration</t>
  </si>
  <si>
    <t>prompt optimization</t>
  </si>
  <si>
    <t>SQL metrics</t>
  </si>
  <si>
    <t>LLM optimization</t>
  </si>
  <si>
    <t xml:space="preserve"> LLM API token limit or requests limit
Better source coverage on RAG
Top docs get more space (smart truncation)</t>
  </si>
  <si>
    <t>computation time
skip the validation every time if first retrive successful.: saves 2-3 seconds</t>
  </si>
  <si>
    <t>RAG - 
More focused answers</t>
  </si>
  <si>
    <t>LLM prompts  &amp; RAG</t>
  </si>
  <si>
    <t>Few shot
LLM output</t>
  </si>
  <si>
    <t>few shot
Zero shot
on prompts reduced data.</t>
  </si>
  <si>
    <t>LLM token usage</t>
  </si>
  <si>
    <t>LLM calls</t>
  </si>
  <si>
    <t>avoid usage of Stale data</t>
  </si>
  <si>
    <t>LLM Judge
Hallucination</t>
  </si>
  <si>
    <t>response time &lt; 30 sec
Better diversity (MMR)
Success rate.</t>
  </si>
  <si>
    <t>relevance of answers on 
Gap analysis.
Completion of all the sections of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</si>
</sst>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2"/>
      <name val="Calibri"/>
    </font>
    <font>
      <b/>
      <sz val="10"/>
      <color rgb="FFFFFFFF"/>
      <name val="Calibri"/>
    </font>
    <font>
      <b/>
      <sz val="11"/>
      <name val="Calibri"/>
    </font>
    <font>
      <b/>
      <sz val="14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6"/>
      <color rgb="FF1F4E78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7" fillId="5" borderId="2" xfId="0" applyFont="1" applyFill="1" applyBorder="1"/>
    <xf numFmtId="0" fontId="7" fillId="5" borderId="3" xfId="0" applyFont="1" applyFill="1" applyBorder="1"/>
    <xf numFmtId="0" fontId="7" fillId="5" borderId="3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0" fillId="5" borderId="2" xfId="0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9" fillId="5" borderId="3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0" fillId="0" borderId="0" xfId="0"/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EF06-01E6-4125-BE25-2CE902802F84}">
  <dimension ref="A1:I26"/>
  <sheetViews>
    <sheetView tabSelected="1" workbookViewId="0">
      <pane ySplit="2" topLeftCell="A7" activePane="bottomLeft" state="frozen"/>
      <selection pane="bottomLeft" activeCell="C18" sqref="C18"/>
    </sheetView>
  </sheetViews>
  <sheetFormatPr defaultRowHeight="14.5" x14ac:dyDescent="0.35"/>
  <cols>
    <col min="1" max="1" width="8.7265625" style="10"/>
    <col min="2" max="2" width="27" style="10" customWidth="1"/>
    <col min="3" max="3" width="26" style="10" customWidth="1"/>
    <col min="4" max="4" width="33.54296875" style="10" customWidth="1"/>
    <col min="5" max="5" width="10" style="10" customWidth="1"/>
    <col min="6" max="8" width="10.08984375" style="10" customWidth="1"/>
    <col min="9" max="16384" width="8.7265625" style="10"/>
  </cols>
  <sheetData>
    <row r="1" spans="1:8" ht="18" thickBot="1" x14ac:dyDescent="0.4">
      <c r="B1" s="32" t="s">
        <v>317</v>
      </c>
      <c r="C1" s="32"/>
      <c r="D1" s="32"/>
      <c r="E1" s="32"/>
      <c r="F1" s="32"/>
      <c r="G1" s="32"/>
      <c r="H1" s="32"/>
    </row>
    <row r="2" spans="1:8" ht="36" thickTop="1" x14ac:dyDescent="0.35">
      <c r="B2" s="12" t="s">
        <v>318</v>
      </c>
      <c r="C2" s="13" t="s">
        <v>319</v>
      </c>
      <c r="D2" s="13" t="s">
        <v>320</v>
      </c>
      <c r="E2" s="14" t="s">
        <v>321</v>
      </c>
      <c r="F2" s="14" t="s">
        <v>322</v>
      </c>
      <c r="G2" s="14" t="s">
        <v>323</v>
      </c>
      <c r="H2" s="14" t="s">
        <v>324</v>
      </c>
    </row>
    <row r="3" spans="1:8" ht="24" x14ac:dyDescent="0.35">
      <c r="A3" s="10" t="s">
        <v>325</v>
      </c>
      <c r="B3" s="15" t="s">
        <v>326</v>
      </c>
      <c r="C3" s="16" t="s">
        <v>327</v>
      </c>
      <c r="D3" s="16" t="s">
        <v>328</v>
      </c>
      <c r="E3" s="16">
        <v>1</v>
      </c>
      <c r="F3" s="16">
        <v>1</v>
      </c>
      <c r="G3" s="16">
        <v>1</v>
      </c>
      <c r="H3" s="16">
        <f>AVERAGE(E3:G3)</f>
        <v>1</v>
      </c>
    </row>
    <row r="4" spans="1:8" x14ac:dyDescent="0.35">
      <c r="B4" s="15" t="s">
        <v>326</v>
      </c>
      <c r="C4" s="16" t="s">
        <v>329</v>
      </c>
      <c r="D4" s="16" t="s">
        <v>330</v>
      </c>
      <c r="E4" s="16">
        <v>1</v>
      </c>
      <c r="F4" s="16">
        <v>1</v>
      </c>
      <c r="G4" s="16">
        <v>1</v>
      </c>
      <c r="H4" s="16">
        <f t="shared" ref="H4:H26" si="0">AVERAGE(E4:G4)</f>
        <v>1</v>
      </c>
    </row>
    <row r="5" spans="1:8" x14ac:dyDescent="0.35">
      <c r="B5" s="15" t="s">
        <v>326</v>
      </c>
      <c r="C5" s="16" t="s">
        <v>331</v>
      </c>
      <c r="D5" s="16" t="s">
        <v>332</v>
      </c>
      <c r="E5" s="16">
        <v>5.0000000000000001E-3</v>
      </c>
      <c r="F5" s="16">
        <v>4.0000000000000001E-3</v>
      </c>
      <c r="G5" s="16">
        <v>7.0000000000000001E-3</v>
      </c>
      <c r="H5" s="16">
        <f t="shared" si="0"/>
        <v>5.3333333333333332E-3</v>
      </c>
    </row>
    <row r="6" spans="1:8" ht="24" x14ac:dyDescent="0.35">
      <c r="B6" s="15" t="s">
        <v>326</v>
      </c>
      <c r="C6" s="16" t="s">
        <v>333</v>
      </c>
      <c r="D6" s="16" t="s">
        <v>334</v>
      </c>
      <c r="E6" s="16">
        <v>0</v>
      </c>
      <c r="F6" s="16">
        <v>0.5</v>
      </c>
      <c r="G6" s="16">
        <v>1</v>
      </c>
      <c r="H6" s="16">
        <f t="shared" si="0"/>
        <v>0.5</v>
      </c>
    </row>
    <row r="7" spans="1:8" ht="24" x14ac:dyDescent="0.35">
      <c r="B7" s="15" t="s">
        <v>335</v>
      </c>
      <c r="C7" s="16" t="s">
        <v>336</v>
      </c>
      <c r="D7" s="16" t="s">
        <v>337</v>
      </c>
      <c r="E7" s="16">
        <v>1</v>
      </c>
      <c r="F7" s="16">
        <v>1</v>
      </c>
      <c r="G7" s="16">
        <v>1</v>
      </c>
      <c r="H7" s="16">
        <f t="shared" si="0"/>
        <v>1</v>
      </c>
    </row>
    <row r="8" spans="1:8" x14ac:dyDescent="0.35">
      <c r="B8" s="15" t="s">
        <v>335</v>
      </c>
      <c r="C8" s="16" t="s">
        <v>338</v>
      </c>
      <c r="D8" s="16" t="s">
        <v>339</v>
      </c>
      <c r="E8" s="16">
        <v>1</v>
      </c>
      <c r="F8" s="16">
        <v>1</v>
      </c>
      <c r="G8" s="16">
        <v>0.5</v>
      </c>
      <c r="H8" s="16">
        <f t="shared" si="0"/>
        <v>0.83333333333333337</v>
      </c>
    </row>
    <row r="9" spans="1:8" ht="24" x14ac:dyDescent="0.35">
      <c r="B9" s="15" t="s">
        <v>335</v>
      </c>
      <c r="C9" s="16" t="s">
        <v>340</v>
      </c>
      <c r="D9" s="16" t="s">
        <v>341</v>
      </c>
      <c r="E9" s="16">
        <v>1</v>
      </c>
      <c r="F9" s="16">
        <v>1</v>
      </c>
      <c r="G9" s="16">
        <v>1</v>
      </c>
      <c r="H9" s="16">
        <f t="shared" si="0"/>
        <v>1</v>
      </c>
    </row>
    <row r="10" spans="1:8" ht="24" x14ac:dyDescent="0.35">
      <c r="B10" s="15" t="s">
        <v>335</v>
      </c>
      <c r="C10" s="16" t="s">
        <v>30</v>
      </c>
      <c r="D10" s="16" t="s">
        <v>342</v>
      </c>
      <c r="E10" s="16">
        <v>1</v>
      </c>
      <c r="F10" s="16">
        <v>1</v>
      </c>
      <c r="G10" s="16">
        <v>1</v>
      </c>
      <c r="H10" s="16">
        <f t="shared" si="0"/>
        <v>1</v>
      </c>
    </row>
    <row r="11" spans="1:8" ht="24" hidden="1" x14ac:dyDescent="0.35">
      <c r="B11" s="17" t="s">
        <v>343</v>
      </c>
      <c r="C11" s="18" t="s">
        <v>344</v>
      </c>
      <c r="D11" s="18" t="s">
        <v>345</v>
      </c>
      <c r="E11" s="18"/>
      <c r="F11" s="18"/>
      <c r="G11" s="18"/>
      <c r="H11" s="18" t="e">
        <f t="shared" si="0"/>
        <v>#DIV/0!</v>
      </c>
    </row>
    <row r="12" spans="1:8" ht="24" x14ac:dyDescent="0.35">
      <c r="B12" s="15" t="s">
        <v>343</v>
      </c>
      <c r="C12" s="16" t="s">
        <v>346</v>
      </c>
      <c r="D12" s="16" t="s">
        <v>347</v>
      </c>
      <c r="E12" s="16">
        <v>1</v>
      </c>
      <c r="F12" s="16">
        <v>1</v>
      </c>
      <c r="G12" s="16">
        <v>1</v>
      </c>
      <c r="H12" s="16">
        <f t="shared" si="0"/>
        <v>1</v>
      </c>
    </row>
    <row r="13" spans="1:8" x14ac:dyDescent="0.35">
      <c r="B13" s="15" t="s">
        <v>343</v>
      </c>
      <c r="C13" s="16" t="s">
        <v>348</v>
      </c>
      <c r="D13" s="16" t="s">
        <v>349</v>
      </c>
      <c r="E13" s="16">
        <v>1</v>
      </c>
      <c r="F13" s="16">
        <v>1</v>
      </c>
      <c r="G13" s="16">
        <v>1</v>
      </c>
      <c r="H13" s="16">
        <f t="shared" si="0"/>
        <v>1</v>
      </c>
    </row>
    <row r="14" spans="1:8" x14ac:dyDescent="0.35">
      <c r="B14" s="15" t="s">
        <v>343</v>
      </c>
      <c r="C14" s="16" t="s">
        <v>350</v>
      </c>
      <c r="D14" s="16" t="s">
        <v>351</v>
      </c>
      <c r="E14" s="16">
        <v>1</v>
      </c>
      <c r="F14" s="16">
        <v>1</v>
      </c>
      <c r="G14" s="16">
        <v>1</v>
      </c>
      <c r="H14" s="16">
        <f t="shared" si="0"/>
        <v>1</v>
      </c>
    </row>
    <row r="15" spans="1:8" x14ac:dyDescent="0.35">
      <c r="B15" s="15" t="s">
        <v>343</v>
      </c>
      <c r="C15" s="16" t="s">
        <v>352</v>
      </c>
      <c r="D15" s="16" t="s">
        <v>353</v>
      </c>
      <c r="E15" s="16">
        <v>5</v>
      </c>
      <c r="F15" s="16">
        <v>5</v>
      </c>
      <c r="G15" s="16">
        <v>5</v>
      </c>
      <c r="H15" s="16">
        <f t="shared" si="0"/>
        <v>5</v>
      </c>
    </row>
    <row r="16" spans="1:8" x14ac:dyDescent="0.35">
      <c r="B16" s="15" t="s">
        <v>343</v>
      </c>
      <c r="C16" s="16" t="s">
        <v>352</v>
      </c>
      <c r="D16" s="16" t="s">
        <v>354</v>
      </c>
      <c r="E16" s="16">
        <v>5</v>
      </c>
      <c r="F16" s="16">
        <v>5</v>
      </c>
      <c r="G16" s="16">
        <v>1</v>
      </c>
      <c r="H16" s="16">
        <f t="shared" si="0"/>
        <v>3.6666666666666665</v>
      </c>
    </row>
    <row r="17" spans="1:9" x14ac:dyDescent="0.35">
      <c r="B17" s="15" t="s">
        <v>343</v>
      </c>
      <c r="C17" s="16" t="s">
        <v>352</v>
      </c>
      <c r="D17" s="16" t="s">
        <v>355</v>
      </c>
      <c r="E17" s="16">
        <v>5</v>
      </c>
      <c r="F17" s="16">
        <v>5</v>
      </c>
      <c r="G17" s="16">
        <v>5</v>
      </c>
      <c r="H17" s="16">
        <f t="shared" si="0"/>
        <v>5</v>
      </c>
    </row>
    <row r="18" spans="1:9" ht="24" x14ac:dyDescent="0.35">
      <c r="B18" s="15" t="s">
        <v>356</v>
      </c>
      <c r="C18" s="16" t="s">
        <v>357</v>
      </c>
      <c r="D18" s="16" t="s">
        <v>358</v>
      </c>
      <c r="E18" s="16">
        <v>9.0399999999999991</v>
      </c>
      <c r="F18" s="16">
        <v>9.35</v>
      </c>
      <c r="G18" s="16">
        <v>7.88</v>
      </c>
      <c r="H18" s="16">
        <f t="shared" si="0"/>
        <v>8.7566666666666659</v>
      </c>
      <c r="I18" s="10" t="s">
        <v>359</v>
      </c>
    </row>
    <row r="19" spans="1:9" ht="24" x14ac:dyDescent="0.35">
      <c r="B19" s="15" t="s">
        <v>356</v>
      </c>
      <c r="C19" s="16" t="s">
        <v>360</v>
      </c>
      <c r="D19" s="16" t="s">
        <v>361</v>
      </c>
      <c r="E19" s="16">
        <v>1</v>
      </c>
      <c r="F19" s="16">
        <v>1</v>
      </c>
      <c r="G19" s="16">
        <v>1</v>
      </c>
      <c r="H19" s="16">
        <f t="shared" si="0"/>
        <v>1</v>
      </c>
    </row>
    <row r="20" spans="1:9" ht="24" hidden="1" x14ac:dyDescent="0.35">
      <c r="B20" s="17" t="s">
        <v>356</v>
      </c>
      <c r="C20" s="18" t="s">
        <v>362</v>
      </c>
      <c r="D20" s="18" t="s">
        <v>363</v>
      </c>
      <c r="E20" s="18"/>
      <c r="F20" s="18"/>
      <c r="G20" s="18"/>
      <c r="H20" s="18" t="e">
        <f t="shared" si="0"/>
        <v>#DIV/0!</v>
      </c>
    </row>
    <row r="21" spans="1:9" ht="24" x14ac:dyDescent="0.35">
      <c r="A21" s="10" t="s">
        <v>325</v>
      </c>
      <c r="B21" s="15" t="s">
        <v>364</v>
      </c>
      <c r="C21" s="16" t="s">
        <v>365</v>
      </c>
      <c r="D21" s="16" t="s">
        <v>366</v>
      </c>
      <c r="E21" s="16">
        <v>691</v>
      </c>
      <c r="F21" s="16">
        <v>972</v>
      </c>
      <c r="G21" s="16">
        <v>493</v>
      </c>
      <c r="H21" s="16">
        <f t="shared" si="0"/>
        <v>718.66666666666663</v>
      </c>
    </row>
    <row r="22" spans="1:9" x14ac:dyDescent="0.35">
      <c r="A22" s="10" t="s">
        <v>325</v>
      </c>
      <c r="B22" s="15" t="s">
        <v>367</v>
      </c>
      <c r="C22" s="16" t="s">
        <v>365</v>
      </c>
      <c r="D22" s="16" t="s">
        <v>368</v>
      </c>
      <c r="E22" s="16">
        <v>1E-3</v>
      </c>
      <c r="F22" s="16">
        <v>1E-3</v>
      </c>
      <c r="G22" s="16">
        <v>1E-3</v>
      </c>
      <c r="H22" s="16">
        <f t="shared" si="0"/>
        <v>1E-3</v>
      </c>
    </row>
    <row r="23" spans="1:9" x14ac:dyDescent="0.35">
      <c r="B23" s="15" t="s">
        <v>367</v>
      </c>
      <c r="C23" s="16" t="s">
        <v>369</v>
      </c>
      <c r="D23" s="16" t="s">
        <v>370</v>
      </c>
      <c r="E23" s="16">
        <v>1</v>
      </c>
      <c r="F23" s="16">
        <v>1</v>
      </c>
      <c r="G23" s="16">
        <v>1</v>
      </c>
      <c r="H23" s="16">
        <f t="shared" si="0"/>
        <v>1</v>
      </c>
    </row>
    <row r="24" spans="1:9" x14ac:dyDescent="0.35">
      <c r="B24" s="15" t="s">
        <v>367</v>
      </c>
      <c r="C24" s="16" t="s">
        <v>371</v>
      </c>
      <c r="D24" s="16" t="s">
        <v>372</v>
      </c>
      <c r="E24" s="16">
        <v>9</v>
      </c>
      <c r="F24" s="16">
        <v>9.3000000000000007</v>
      </c>
      <c r="G24" s="16">
        <v>6.1</v>
      </c>
      <c r="H24" s="16">
        <f t="shared" si="0"/>
        <v>8.1333333333333329</v>
      </c>
    </row>
    <row r="25" spans="1:9" hidden="1" x14ac:dyDescent="0.35">
      <c r="B25" s="17" t="s">
        <v>367</v>
      </c>
      <c r="C25" s="18" t="s">
        <v>369</v>
      </c>
      <c r="D25" s="18" t="s">
        <v>373</v>
      </c>
      <c r="E25" s="18"/>
      <c r="F25" s="18"/>
      <c r="G25" s="18"/>
      <c r="H25" s="18" t="e">
        <f t="shared" si="0"/>
        <v>#DIV/0!</v>
      </c>
    </row>
    <row r="26" spans="1:9" ht="15" hidden="1" thickBot="1" x14ac:dyDescent="0.4">
      <c r="B26" s="19" t="s">
        <v>367</v>
      </c>
      <c r="C26" s="20" t="s">
        <v>374</v>
      </c>
      <c r="D26" s="20"/>
      <c r="E26" s="20"/>
      <c r="F26" s="20"/>
      <c r="G26" s="20"/>
      <c r="H26" s="18" t="e">
        <f t="shared" si="0"/>
        <v>#DIV/0!</v>
      </c>
    </row>
  </sheetData>
  <mergeCells count="1"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2522-016D-4F12-AB29-A511EF09085E}">
  <dimension ref="A1:I30"/>
  <sheetViews>
    <sheetView workbookViewId="0">
      <pane ySplit="2" topLeftCell="A3" activePane="bottomLeft" state="frozen"/>
      <selection pane="bottomLeft" activeCell="D9" sqref="D9"/>
    </sheetView>
  </sheetViews>
  <sheetFormatPr defaultRowHeight="14.5" x14ac:dyDescent="0.35"/>
  <cols>
    <col min="1" max="1" width="8.7265625" style="10"/>
    <col min="2" max="2" width="27" style="10" customWidth="1"/>
    <col min="3" max="3" width="26" style="10" customWidth="1"/>
    <col min="4" max="4" width="33.54296875" style="10" customWidth="1"/>
    <col min="5" max="5" width="10" style="10" customWidth="1"/>
    <col min="6" max="7" width="10.08984375" style="10" customWidth="1"/>
    <col min="8" max="8" width="17.7265625" style="10" customWidth="1"/>
    <col min="9" max="9" width="16.7265625" style="10" customWidth="1"/>
    <col min="10" max="16384" width="8.7265625" style="10"/>
  </cols>
  <sheetData>
    <row r="1" spans="2:8" ht="18" thickBot="1" x14ac:dyDescent="0.4">
      <c r="B1" s="32" t="s">
        <v>414</v>
      </c>
      <c r="C1" s="32"/>
      <c r="D1" s="32"/>
      <c r="E1" s="32"/>
      <c r="F1" s="32"/>
      <c r="G1" s="32"/>
      <c r="H1" s="32"/>
    </row>
    <row r="2" spans="2:8" ht="36" thickTop="1" x14ac:dyDescent="0.35">
      <c r="B2" s="12" t="s">
        <v>318</v>
      </c>
      <c r="C2" s="13" t="s">
        <v>1</v>
      </c>
      <c r="D2" s="13" t="s">
        <v>320</v>
      </c>
      <c r="E2" s="14" t="s">
        <v>321</v>
      </c>
      <c r="F2" s="14" t="s">
        <v>322</v>
      </c>
      <c r="G2" s="14" t="s">
        <v>323</v>
      </c>
      <c r="H2" s="14" t="s">
        <v>324</v>
      </c>
    </row>
    <row r="3" spans="2:8" ht="24" x14ac:dyDescent="0.35">
      <c r="B3" s="15" t="s">
        <v>375</v>
      </c>
      <c r="C3" s="16" t="s">
        <v>336</v>
      </c>
      <c r="D3" s="16" t="s">
        <v>377</v>
      </c>
      <c r="E3" s="16">
        <v>1</v>
      </c>
      <c r="F3" s="16">
        <v>1</v>
      </c>
      <c r="G3" s="16">
        <v>1</v>
      </c>
      <c r="H3" s="16">
        <f t="shared" ref="H3:H30" si="0">AVERAGE(E3:G3)</f>
        <v>1</v>
      </c>
    </row>
    <row r="4" spans="2:8" ht="24" x14ac:dyDescent="0.35">
      <c r="B4" s="15" t="s">
        <v>375</v>
      </c>
      <c r="C4" s="16" t="s">
        <v>338</v>
      </c>
      <c r="D4" s="16" t="s">
        <v>379</v>
      </c>
      <c r="E4" s="16">
        <v>1</v>
      </c>
      <c r="F4" s="16">
        <v>1</v>
      </c>
      <c r="G4" s="16">
        <v>1</v>
      </c>
      <c r="H4" s="16">
        <f t="shared" si="0"/>
        <v>1</v>
      </c>
    </row>
    <row r="5" spans="2:8" ht="24" x14ac:dyDescent="0.35">
      <c r="B5" s="15" t="s">
        <v>375</v>
      </c>
      <c r="C5" s="16" t="s">
        <v>340</v>
      </c>
      <c r="D5" s="16" t="s">
        <v>341</v>
      </c>
      <c r="E5" s="16">
        <v>1</v>
      </c>
      <c r="F5" s="16">
        <v>1</v>
      </c>
      <c r="G5" s="16">
        <v>1</v>
      </c>
      <c r="H5" s="16">
        <f t="shared" si="0"/>
        <v>1</v>
      </c>
    </row>
    <row r="6" spans="2:8" ht="24" x14ac:dyDescent="0.35">
      <c r="B6" s="15" t="s">
        <v>375</v>
      </c>
      <c r="C6" s="16" t="s">
        <v>30</v>
      </c>
      <c r="D6" s="16" t="s">
        <v>378</v>
      </c>
      <c r="E6" s="16">
        <v>1</v>
      </c>
      <c r="F6" s="16">
        <v>1</v>
      </c>
      <c r="G6" s="16">
        <v>1</v>
      </c>
      <c r="H6" s="16">
        <f t="shared" si="0"/>
        <v>1</v>
      </c>
    </row>
    <row r="7" spans="2:8" ht="35.5" x14ac:dyDescent="0.35">
      <c r="B7" s="15" t="s">
        <v>376</v>
      </c>
      <c r="C7" s="24" t="s">
        <v>391</v>
      </c>
      <c r="D7" s="16" t="s">
        <v>393</v>
      </c>
      <c r="E7" s="33" t="s">
        <v>403</v>
      </c>
      <c r="F7" s="34"/>
      <c r="G7" s="34"/>
      <c r="H7" s="35"/>
    </row>
    <row r="8" spans="2:8" ht="24" x14ac:dyDescent="0.35">
      <c r="B8" s="15" t="s">
        <v>376</v>
      </c>
      <c r="C8" s="16" t="s">
        <v>392</v>
      </c>
      <c r="D8" s="16" t="s">
        <v>394</v>
      </c>
      <c r="E8" s="36"/>
      <c r="F8" s="37"/>
      <c r="G8" s="37"/>
      <c r="H8" s="38"/>
    </row>
    <row r="9" spans="2:8" ht="35.5" x14ac:dyDescent="0.35">
      <c r="B9" s="15" t="s">
        <v>376</v>
      </c>
      <c r="C9" s="16" t="s">
        <v>395</v>
      </c>
      <c r="D9" s="16" t="s">
        <v>396</v>
      </c>
      <c r="E9" s="36"/>
      <c r="F9" s="37"/>
      <c r="G9" s="37"/>
      <c r="H9" s="38"/>
    </row>
    <row r="10" spans="2:8" ht="24" x14ac:dyDescent="0.35">
      <c r="B10" s="15" t="s">
        <v>376</v>
      </c>
      <c r="C10" s="16" t="s">
        <v>397</v>
      </c>
      <c r="D10" s="16" t="s">
        <v>398</v>
      </c>
      <c r="E10" s="36"/>
      <c r="F10" s="37"/>
      <c r="G10" s="37"/>
      <c r="H10" s="38"/>
    </row>
    <row r="11" spans="2:8" ht="58.5" x14ac:dyDescent="0.35">
      <c r="B11" s="15" t="s">
        <v>376</v>
      </c>
      <c r="C11" s="16" t="s">
        <v>399</v>
      </c>
      <c r="D11" s="16" t="s">
        <v>400</v>
      </c>
      <c r="E11" s="36"/>
      <c r="F11" s="37"/>
      <c r="G11" s="37"/>
      <c r="H11" s="38"/>
    </row>
    <row r="12" spans="2:8" ht="24" x14ac:dyDescent="0.35">
      <c r="B12" s="15" t="s">
        <v>376</v>
      </c>
      <c r="C12" s="16" t="s">
        <v>401</v>
      </c>
      <c r="D12" s="16" t="s">
        <v>402</v>
      </c>
      <c r="E12" s="36"/>
      <c r="F12" s="37"/>
      <c r="G12" s="37"/>
      <c r="H12" s="38"/>
    </row>
    <row r="13" spans="2:8" ht="24" x14ac:dyDescent="0.35">
      <c r="B13" s="15" t="s">
        <v>376</v>
      </c>
      <c r="C13" s="16" t="s">
        <v>397</v>
      </c>
      <c r="D13" s="16" t="s">
        <v>398</v>
      </c>
      <c r="E13" s="39"/>
      <c r="F13" s="40"/>
      <c r="G13" s="40"/>
      <c r="H13" s="41"/>
    </row>
    <row r="14" spans="2:8" ht="24" hidden="1" x14ac:dyDescent="0.35">
      <c r="B14" s="17" t="s">
        <v>343</v>
      </c>
      <c r="C14" s="18" t="s">
        <v>344</v>
      </c>
      <c r="D14" s="18" t="s">
        <v>345</v>
      </c>
      <c r="E14" s="18"/>
      <c r="F14" s="18"/>
      <c r="G14" s="18"/>
      <c r="H14" s="18" t="e">
        <f t="shared" si="0"/>
        <v>#DIV/0!</v>
      </c>
    </row>
    <row r="15" spans="2:8" x14ac:dyDescent="0.35">
      <c r="B15" s="17"/>
      <c r="C15" s="18"/>
      <c r="D15" s="18"/>
      <c r="E15" s="18"/>
      <c r="F15" s="18"/>
      <c r="G15" s="18"/>
      <c r="H15" s="18"/>
    </row>
    <row r="16" spans="2:8" ht="24" x14ac:dyDescent="0.35">
      <c r="B16" s="15" t="s">
        <v>343</v>
      </c>
      <c r="C16" s="16" t="s">
        <v>346</v>
      </c>
      <c r="D16" s="16" t="s">
        <v>347</v>
      </c>
      <c r="E16" s="16">
        <v>1</v>
      </c>
      <c r="F16" s="16">
        <v>1</v>
      </c>
      <c r="G16" s="16">
        <v>1</v>
      </c>
      <c r="H16" s="16">
        <f t="shared" si="0"/>
        <v>1</v>
      </c>
    </row>
    <row r="17" spans="1:9" x14ac:dyDescent="0.35">
      <c r="B17" s="15" t="s">
        <v>343</v>
      </c>
      <c r="C17" s="16" t="s">
        <v>348</v>
      </c>
      <c r="D17" s="16" t="s">
        <v>349</v>
      </c>
      <c r="E17" s="16">
        <v>1</v>
      </c>
      <c r="F17" s="16">
        <v>1</v>
      </c>
      <c r="G17" s="16">
        <v>1</v>
      </c>
      <c r="H17" s="16">
        <f t="shared" si="0"/>
        <v>1</v>
      </c>
    </row>
    <row r="18" spans="1:9" x14ac:dyDescent="0.35">
      <c r="B18" s="15" t="s">
        <v>343</v>
      </c>
      <c r="C18" s="16" t="s">
        <v>350</v>
      </c>
      <c r="D18" s="16" t="s">
        <v>351</v>
      </c>
      <c r="E18" s="16">
        <v>1</v>
      </c>
      <c r="F18" s="16">
        <v>1</v>
      </c>
      <c r="G18" s="16">
        <v>1</v>
      </c>
      <c r="H18" s="16">
        <f t="shared" si="0"/>
        <v>1</v>
      </c>
    </row>
    <row r="19" spans="1:9" x14ac:dyDescent="0.35">
      <c r="B19" s="15" t="s">
        <v>343</v>
      </c>
      <c r="C19" s="16" t="s">
        <v>352</v>
      </c>
      <c r="D19" s="16" t="s">
        <v>353</v>
      </c>
      <c r="E19" s="16">
        <v>5</v>
      </c>
      <c r="F19" s="16">
        <v>5</v>
      </c>
      <c r="G19" s="16">
        <v>5</v>
      </c>
      <c r="H19" s="16">
        <f t="shared" si="0"/>
        <v>5</v>
      </c>
    </row>
    <row r="20" spans="1:9" x14ac:dyDescent="0.35">
      <c r="B20" s="15" t="s">
        <v>343</v>
      </c>
      <c r="C20" s="16" t="s">
        <v>352</v>
      </c>
      <c r="D20" s="16" t="s">
        <v>354</v>
      </c>
      <c r="E20" s="16">
        <v>5</v>
      </c>
      <c r="F20" s="16">
        <v>5</v>
      </c>
      <c r="G20" s="16">
        <v>5</v>
      </c>
      <c r="H20" s="16">
        <f t="shared" si="0"/>
        <v>5</v>
      </c>
    </row>
    <row r="21" spans="1:9" x14ac:dyDescent="0.35">
      <c r="B21" s="15" t="s">
        <v>343</v>
      </c>
      <c r="C21" s="16" t="s">
        <v>352</v>
      </c>
      <c r="D21" s="16" t="s">
        <v>355</v>
      </c>
      <c r="E21" s="16">
        <v>5</v>
      </c>
      <c r="F21" s="16">
        <v>5</v>
      </c>
      <c r="G21" s="16">
        <v>5</v>
      </c>
      <c r="H21" s="16">
        <f t="shared" si="0"/>
        <v>5</v>
      </c>
    </row>
    <row r="22" spans="1:9" ht="24" x14ac:dyDescent="0.35">
      <c r="B22" s="15" t="s">
        <v>356</v>
      </c>
      <c r="C22" s="16" t="s">
        <v>357</v>
      </c>
      <c r="D22" s="16" t="s">
        <v>358</v>
      </c>
      <c r="E22" s="16">
        <v>19.84</v>
      </c>
      <c r="F22" s="16">
        <v>25.2</v>
      </c>
      <c r="G22" s="16">
        <v>17.8</v>
      </c>
      <c r="H22" s="16">
        <f t="shared" si="0"/>
        <v>20.946666666666669</v>
      </c>
      <c r="I22" s="10" t="s">
        <v>359</v>
      </c>
    </row>
    <row r="23" spans="1:9" ht="24" x14ac:dyDescent="0.35">
      <c r="B23" s="15" t="s">
        <v>356</v>
      </c>
      <c r="C23" s="16" t="s">
        <v>360</v>
      </c>
      <c r="D23" s="16" t="s">
        <v>361</v>
      </c>
      <c r="E23" s="16">
        <v>1</v>
      </c>
      <c r="F23" s="16">
        <v>1</v>
      </c>
      <c r="G23" s="16">
        <v>1</v>
      </c>
      <c r="H23" s="16">
        <f t="shared" si="0"/>
        <v>1</v>
      </c>
    </row>
    <row r="24" spans="1:9" ht="24" hidden="1" x14ac:dyDescent="0.35">
      <c r="B24" s="17" t="s">
        <v>356</v>
      </c>
      <c r="C24" s="18" t="s">
        <v>362</v>
      </c>
      <c r="D24" s="18" t="s">
        <v>363</v>
      </c>
      <c r="E24" s="18"/>
      <c r="F24" s="18"/>
      <c r="G24" s="18"/>
      <c r="H24" s="18" t="e">
        <f t="shared" si="0"/>
        <v>#DIV/0!</v>
      </c>
    </row>
    <row r="25" spans="1:9" ht="24" x14ac:dyDescent="0.35">
      <c r="A25" s="10" t="s">
        <v>325</v>
      </c>
      <c r="B25" s="15" t="s">
        <v>364</v>
      </c>
      <c r="C25" s="16" t="s">
        <v>365</v>
      </c>
      <c r="D25" s="16" t="s">
        <v>366</v>
      </c>
      <c r="E25" s="16">
        <v>2587</v>
      </c>
      <c r="F25" s="16">
        <v>2654</v>
      </c>
      <c r="G25" s="16">
        <v>2338</v>
      </c>
      <c r="H25" s="16">
        <f t="shared" si="0"/>
        <v>2526.3333333333335</v>
      </c>
    </row>
    <row r="26" spans="1:9" x14ac:dyDescent="0.35">
      <c r="A26" s="10" t="s">
        <v>325</v>
      </c>
      <c r="B26" s="15" t="s">
        <v>367</v>
      </c>
      <c r="C26" s="16" t="s">
        <v>365</v>
      </c>
      <c r="D26" s="16" t="s">
        <v>368</v>
      </c>
      <c r="E26" s="16">
        <v>2E-3</v>
      </c>
      <c r="F26" s="16">
        <v>1E-3</v>
      </c>
      <c r="G26" s="16">
        <v>2E-3</v>
      </c>
      <c r="H26" s="16">
        <f t="shared" si="0"/>
        <v>1.6666666666666668E-3</v>
      </c>
    </row>
    <row r="27" spans="1:9" x14ac:dyDescent="0.35">
      <c r="B27" s="15" t="s">
        <v>367</v>
      </c>
      <c r="C27" s="16" t="s">
        <v>369</v>
      </c>
      <c r="D27" s="16" t="s">
        <v>370</v>
      </c>
      <c r="E27" s="16">
        <v>1</v>
      </c>
      <c r="F27" s="16">
        <v>1</v>
      </c>
      <c r="G27" s="16">
        <v>1</v>
      </c>
      <c r="H27" s="16">
        <f t="shared" si="0"/>
        <v>1</v>
      </c>
    </row>
    <row r="28" spans="1:9" x14ac:dyDescent="0.35">
      <c r="B28" s="15" t="s">
        <v>367</v>
      </c>
      <c r="C28" s="16" t="s">
        <v>371</v>
      </c>
      <c r="D28" s="16" t="s">
        <v>372</v>
      </c>
      <c r="E28" s="16">
        <v>19</v>
      </c>
      <c r="F28" s="16">
        <v>23</v>
      </c>
      <c r="G28" s="16">
        <v>17</v>
      </c>
      <c r="H28" s="16">
        <f t="shared" si="0"/>
        <v>19.666666666666668</v>
      </c>
    </row>
    <row r="29" spans="1:9" hidden="1" x14ac:dyDescent="0.35">
      <c r="B29" s="17" t="s">
        <v>367</v>
      </c>
      <c r="C29" s="18" t="s">
        <v>369</v>
      </c>
      <c r="D29" s="18" t="s">
        <v>373</v>
      </c>
      <c r="E29" s="18"/>
      <c r="F29" s="18"/>
      <c r="G29" s="18"/>
      <c r="H29" s="18" t="e">
        <f t="shared" si="0"/>
        <v>#DIV/0!</v>
      </c>
    </row>
    <row r="30" spans="1:9" ht="15" hidden="1" thickBot="1" x14ac:dyDescent="0.4">
      <c r="B30" s="19" t="s">
        <v>367</v>
      </c>
      <c r="C30" s="20" t="s">
        <v>374</v>
      </c>
      <c r="D30" s="20"/>
      <c r="E30" s="20"/>
      <c r="F30" s="20"/>
      <c r="G30" s="20"/>
      <c r="H30" s="18" t="e">
        <f t="shared" si="0"/>
        <v>#DIV/0!</v>
      </c>
    </row>
  </sheetData>
  <mergeCells count="2">
    <mergeCell ref="B1:H1"/>
    <mergeCell ref="E7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3DDE-FD08-44FA-9AE8-ADB21D1E6BEF}">
  <dimension ref="A1:I30"/>
  <sheetViews>
    <sheetView workbookViewId="0">
      <pane ySplit="2" topLeftCell="A16" activePane="bottomLeft" state="frozen"/>
      <selection pane="bottomLeft" activeCell="F22" sqref="F22"/>
    </sheetView>
  </sheetViews>
  <sheetFormatPr defaultRowHeight="14.5" x14ac:dyDescent="0.35"/>
  <cols>
    <col min="1" max="1" width="8.7265625" style="11"/>
    <col min="2" max="2" width="27" style="11" customWidth="1"/>
    <col min="3" max="3" width="26" style="11" customWidth="1"/>
    <col min="4" max="4" width="33.54296875" style="11" customWidth="1"/>
    <col min="5" max="5" width="10" style="11" customWidth="1"/>
    <col min="6" max="7" width="10.08984375" style="11" customWidth="1"/>
    <col min="8" max="8" width="17.7265625" style="11" customWidth="1"/>
    <col min="9" max="9" width="16.7265625" style="11" customWidth="1"/>
    <col min="10" max="16384" width="8.7265625" style="11"/>
  </cols>
  <sheetData>
    <row r="1" spans="2:8" ht="18" thickBot="1" x14ac:dyDescent="0.4">
      <c r="B1" s="32" t="s">
        <v>413</v>
      </c>
      <c r="C1" s="32"/>
      <c r="D1" s="32"/>
      <c r="E1" s="32"/>
      <c r="F1" s="32"/>
      <c r="G1" s="32"/>
      <c r="H1" s="32"/>
    </row>
    <row r="2" spans="2:8" ht="36" thickTop="1" x14ac:dyDescent="0.35">
      <c r="B2" s="12" t="s">
        <v>318</v>
      </c>
      <c r="C2" s="13" t="s">
        <v>1</v>
      </c>
      <c r="D2" s="13" t="s">
        <v>320</v>
      </c>
      <c r="E2" s="14" t="s">
        <v>321</v>
      </c>
      <c r="F2" s="14" t="s">
        <v>322</v>
      </c>
      <c r="G2" s="14" t="s">
        <v>323</v>
      </c>
      <c r="H2" s="14" t="s">
        <v>324</v>
      </c>
    </row>
    <row r="3" spans="2:8" ht="24" x14ac:dyDescent="0.35">
      <c r="B3" s="15" t="s">
        <v>375</v>
      </c>
      <c r="C3" s="16" t="s">
        <v>336</v>
      </c>
      <c r="D3" s="16" t="s">
        <v>377</v>
      </c>
      <c r="E3" s="16">
        <v>1</v>
      </c>
      <c r="F3" s="16">
        <v>1</v>
      </c>
      <c r="G3" s="16">
        <v>1</v>
      </c>
      <c r="H3" s="16">
        <f t="shared" ref="H3:H30" si="0">AVERAGE(E3:G3)</f>
        <v>1</v>
      </c>
    </row>
    <row r="4" spans="2:8" ht="24" x14ac:dyDescent="0.35">
      <c r="B4" s="15" t="s">
        <v>375</v>
      </c>
      <c r="C4" s="16" t="s">
        <v>338</v>
      </c>
      <c r="D4" s="16" t="s">
        <v>379</v>
      </c>
      <c r="E4" s="16">
        <v>1</v>
      </c>
      <c r="F4" s="16">
        <v>1</v>
      </c>
      <c r="G4" s="16">
        <v>1</v>
      </c>
      <c r="H4" s="16">
        <f t="shared" si="0"/>
        <v>1</v>
      </c>
    </row>
    <row r="5" spans="2:8" ht="24" x14ac:dyDescent="0.35">
      <c r="B5" s="15" t="s">
        <v>375</v>
      </c>
      <c r="C5" s="16" t="s">
        <v>340</v>
      </c>
      <c r="D5" s="16" t="s">
        <v>341</v>
      </c>
      <c r="E5" s="16">
        <v>1</v>
      </c>
      <c r="F5" s="16">
        <v>1</v>
      </c>
      <c r="G5" s="16">
        <v>1</v>
      </c>
      <c r="H5" s="16">
        <f t="shared" si="0"/>
        <v>1</v>
      </c>
    </row>
    <row r="6" spans="2:8" ht="24" x14ac:dyDescent="0.35">
      <c r="B6" s="15" t="s">
        <v>375</v>
      </c>
      <c r="C6" s="16" t="s">
        <v>30</v>
      </c>
      <c r="D6" s="16" t="s">
        <v>378</v>
      </c>
      <c r="E6" s="16">
        <v>1</v>
      </c>
      <c r="F6" s="16">
        <v>1</v>
      </c>
      <c r="G6" s="16">
        <v>1</v>
      </c>
      <c r="H6" s="16">
        <f t="shared" si="0"/>
        <v>1</v>
      </c>
    </row>
    <row r="7" spans="2:8" ht="35.5" x14ac:dyDescent="0.35">
      <c r="B7" s="15" t="s">
        <v>376</v>
      </c>
      <c r="C7" s="24" t="s">
        <v>391</v>
      </c>
      <c r="D7" s="16" t="s">
        <v>393</v>
      </c>
      <c r="E7" s="33"/>
      <c r="F7" s="34"/>
      <c r="G7" s="34"/>
      <c r="H7" s="35"/>
    </row>
    <row r="8" spans="2:8" ht="24" x14ac:dyDescent="0.35">
      <c r="B8" s="15" t="s">
        <v>376</v>
      </c>
      <c r="C8" s="16" t="s">
        <v>392</v>
      </c>
      <c r="D8" s="16" t="s">
        <v>394</v>
      </c>
      <c r="E8" s="36"/>
      <c r="F8" s="37"/>
      <c r="G8" s="37"/>
      <c r="H8" s="38"/>
    </row>
    <row r="9" spans="2:8" ht="35.5" x14ac:dyDescent="0.35">
      <c r="B9" s="15" t="s">
        <v>376</v>
      </c>
      <c r="C9" s="16" t="s">
        <v>395</v>
      </c>
      <c r="D9" s="16" t="s">
        <v>396</v>
      </c>
      <c r="E9" s="36"/>
      <c r="F9" s="37"/>
      <c r="G9" s="37"/>
      <c r="H9" s="38"/>
    </row>
    <row r="10" spans="2:8" ht="24" x14ac:dyDescent="0.35">
      <c r="B10" s="15" t="s">
        <v>376</v>
      </c>
      <c r="C10" s="16" t="s">
        <v>397</v>
      </c>
      <c r="D10" s="16" t="s">
        <v>398</v>
      </c>
      <c r="E10" s="36"/>
      <c r="F10" s="37"/>
      <c r="G10" s="37"/>
      <c r="H10" s="38"/>
    </row>
    <row r="11" spans="2:8" ht="58.5" x14ac:dyDescent="0.35">
      <c r="B11" s="15" t="s">
        <v>376</v>
      </c>
      <c r="C11" s="16" t="s">
        <v>399</v>
      </c>
      <c r="D11" s="16" t="s">
        <v>400</v>
      </c>
      <c r="E11" s="36"/>
      <c r="F11" s="37"/>
      <c r="G11" s="37"/>
      <c r="H11" s="38"/>
    </row>
    <row r="12" spans="2:8" ht="24" x14ac:dyDescent="0.35">
      <c r="B12" s="15" t="s">
        <v>376</v>
      </c>
      <c r="C12" s="16" t="s">
        <v>401</v>
      </c>
      <c r="D12" s="16" t="s">
        <v>402</v>
      </c>
      <c r="E12" s="36"/>
      <c r="F12" s="37"/>
      <c r="G12" s="37"/>
      <c r="H12" s="38"/>
    </row>
    <row r="13" spans="2:8" ht="24" x14ac:dyDescent="0.35">
      <c r="B13" s="15" t="s">
        <v>376</v>
      </c>
      <c r="C13" s="16" t="s">
        <v>397</v>
      </c>
      <c r="D13" s="16" t="s">
        <v>398</v>
      </c>
      <c r="E13" s="39"/>
      <c r="F13" s="40"/>
      <c r="G13" s="40"/>
      <c r="H13" s="41"/>
    </row>
    <row r="14" spans="2:8" ht="24" hidden="1" x14ac:dyDescent="0.35">
      <c r="B14" s="17" t="s">
        <v>343</v>
      </c>
      <c r="C14" s="18" t="s">
        <v>344</v>
      </c>
      <c r="D14" s="18" t="s">
        <v>345</v>
      </c>
      <c r="E14" s="18"/>
      <c r="F14" s="18"/>
      <c r="G14" s="18"/>
      <c r="H14" s="18" t="e">
        <f t="shared" si="0"/>
        <v>#DIV/0!</v>
      </c>
    </row>
    <row r="15" spans="2:8" x14ac:dyDescent="0.35">
      <c r="B15" s="17"/>
      <c r="C15" s="18"/>
      <c r="D15" s="18"/>
      <c r="E15" s="18"/>
      <c r="F15" s="18"/>
      <c r="G15" s="18"/>
      <c r="H15" s="18"/>
    </row>
    <row r="16" spans="2:8" ht="24" x14ac:dyDescent="0.35">
      <c r="B16" s="15" t="s">
        <v>343</v>
      </c>
      <c r="C16" s="16" t="s">
        <v>346</v>
      </c>
      <c r="D16" s="16" t="s">
        <v>347</v>
      </c>
      <c r="E16" s="16">
        <v>1</v>
      </c>
      <c r="F16" s="16">
        <v>1</v>
      </c>
      <c r="G16" s="16">
        <v>1</v>
      </c>
      <c r="H16" s="16">
        <f t="shared" si="0"/>
        <v>1</v>
      </c>
    </row>
    <row r="17" spans="1:9" x14ac:dyDescent="0.35">
      <c r="B17" s="15" t="s">
        <v>343</v>
      </c>
      <c r="C17" s="16" t="s">
        <v>348</v>
      </c>
      <c r="D17" s="16" t="s">
        <v>349</v>
      </c>
      <c r="E17" s="16">
        <v>1</v>
      </c>
      <c r="F17" s="16">
        <v>1</v>
      </c>
      <c r="G17" s="16">
        <v>1</v>
      </c>
      <c r="H17" s="16">
        <f t="shared" si="0"/>
        <v>1</v>
      </c>
    </row>
    <row r="18" spans="1:9" x14ac:dyDescent="0.35">
      <c r="B18" s="15" t="s">
        <v>343</v>
      </c>
      <c r="C18" s="16" t="s">
        <v>350</v>
      </c>
      <c r="D18" s="16" t="s">
        <v>351</v>
      </c>
      <c r="E18" s="16">
        <v>1</v>
      </c>
      <c r="F18" s="16">
        <v>1</v>
      </c>
      <c r="G18" s="16">
        <v>1</v>
      </c>
      <c r="H18" s="16">
        <f t="shared" si="0"/>
        <v>1</v>
      </c>
    </row>
    <row r="19" spans="1:9" x14ac:dyDescent="0.35">
      <c r="B19" s="15" t="s">
        <v>343</v>
      </c>
      <c r="C19" s="16" t="s">
        <v>352</v>
      </c>
      <c r="D19" s="16" t="s">
        <v>353</v>
      </c>
      <c r="E19" s="16">
        <v>5</v>
      </c>
      <c r="F19" s="16">
        <v>5</v>
      </c>
      <c r="G19" s="16">
        <v>5</v>
      </c>
      <c r="H19" s="16">
        <f t="shared" si="0"/>
        <v>5</v>
      </c>
    </row>
    <row r="20" spans="1:9" x14ac:dyDescent="0.35">
      <c r="B20" s="15" t="s">
        <v>343</v>
      </c>
      <c r="C20" s="16" t="s">
        <v>352</v>
      </c>
      <c r="D20" s="16" t="s">
        <v>354</v>
      </c>
      <c r="E20" s="16">
        <v>5</v>
      </c>
      <c r="F20" s="16">
        <v>5</v>
      </c>
      <c r="G20" s="16">
        <v>5</v>
      </c>
      <c r="H20" s="16">
        <f t="shared" si="0"/>
        <v>5</v>
      </c>
    </row>
    <row r="21" spans="1:9" x14ac:dyDescent="0.35">
      <c r="B21" s="15" t="s">
        <v>343</v>
      </c>
      <c r="C21" s="16" t="s">
        <v>352</v>
      </c>
      <c r="D21" s="16" t="s">
        <v>355</v>
      </c>
      <c r="E21" s="16">
        <v>5</v>
      </c>
      <c r="F21" s="16">
        <v>5</v>
      </c>
      <c r="G21" s="16">
        <v>5</v>
      </c>
      <c r="H21" s="16">
        <f t="shared" si="0"/>
        <v>5</v>
      </c>
    </row>
    <row r="22" spans="1:9" ht="24" x14ac:dyDescent="0.35">
      <c r="B22" s="15" t="s">
        <v>356</v>
      </c>
      <c r="C22" s="16" t="s">
        <v>357</v>
      </c>
      <c r="D22" s="16" t="s">
        <v>358</v>
      </c>
      <c r="E22" s="16">
        <v>17.8</v>
      </c>
      <c r="F22" s="16"/>
      <c r="G22" s="16"/>
      <c r="H22" s="16">
        <f t="shared" si="0"/>
        <v>17.8</v>
      </c>
      <c r="I22" s="11" t="s">
        <v>359</v>
      </c>
    </row>
    <row r="23" spans="1:9" ht="24" x14ac:dyDescent="0.35">
      <c r="B23" s="15" t="s">
        <v>356</v>
      </c>
      <c r="C23" s="16" t="s">
        <v>360</v>
      </c>
      <c r="D23" s="16" t="s">
        <v>361</v>
      </c>
      <c r="E23" s="16">
        <v>1</v>
      </c>
      <c r="F23" s="16"/>
      <c r="G23" s="16"/>
      <c r="H23" s="16">
        <f t="shared" si="0"/>
        <v>1</v>
      </c>
    </row>
    <row r="24" spans="1:9" ht="24" hidden="1" x14ac:dyDescent="0.35">
      <c r="B24" s="17" t="s">
        <v>356</v>
      </c>
      <c r="C24" s="18" t="s">
        <v>362</v>
      </c>
      <c r="D24" s="18" t="s">
        <v>363</v>
      </c>
      <c r="E24" s="18"/>
      <c r="F24" s="18"/>
      <c r="G24" s="18"/>
      <c r="H24" s="18" t="e">
        <f t="shared" si="0"/>
        <v>#DIV/0!</v>
      </c>
    </row>
    <row r="25" spans="1:9" ht="24" x14ac:dyDescent="0.35">
      <c r="A25" s="11" t="s">
        <v>325</v>
      </c>
      <c r="B25" s="15" t="s">
        <v>364</v>
      </c>
      <c r="C25" s="16" t="s">
        <v>365</v>
      </c>
      <c r="D25" s="16" t="s">
        <v>366</v>
      </c>
      <c r="E25" s="16">
        <v>45517</v>
      </c>
      <c r="F25" s="16"/>
      <c r="G25" s="16"/>
      <c r="H25" s="16">
        <f t="shared" si="0"/>
        <v>45517</v>
      </c>
    </row>
    <row r="26" spans="1:9" x14ac:dyDescent="0.35">
      <c r="A26" s="11" t="s">
        <v>325</v>
      </c>
      <c r="B26" s="15" t="s">
        <v>367</v>
      </c>
      <c r="C26" s="16" t="s">
        <v>365</v>
      </c>
      <c r="D26" s="16" t="s">
        <v>368</v>
      </c>
      <c r="E26" s="16">
        <v>4.9000000000000002E-2</v>
      </c>
      <c r="F26" s="16"/>
      <c r="G26" s="16"/>
      <c r="H26" s="16">
        <f t="shared" si="0"/>
        <v>4.9000000000000002E-2</v>
      </c>
    </row>
    <row r="27" spans="1:9" x14ac:dyDescent="0.35">
      <c r="B27" s="15" t="s">
        <v>367</v>
      </c>
      <c r="C27" s="16" t="s">
        <v>369</v>
      </c>
      <c r="D27" s="16" t="s">
        <v>370</v>
      </c>
      <c r="E27" s="16">
        <v>1</v>
      </c>
      <c r="F27" s="16"/>
      <c r="G27" s="16"/>
      <c r="H27" s="16">
        <f t="shared" si="0"/>
        <v>1</v>
      </c>
    </row>
    <row r="28" spans="1:9" x14ac:dyDescent="0.35">
      <c r="B28" s="15" t="s">
        <v>367</v>
      </c>
      <c r="C28" s="16" t="s">
        <v>371</v>
      </c>
      <c r="D28" s="16" t="s">
        <v>372</v>
      </c>
      <c r="E28" s="16">
        <v>352</v>
      </c>
      <c r="F28" s="16"/>
      <c r="G28" s="16"/>
      <c r="H28" s="16">
        <f t="shared" si="0"/>
        <v>352</v>
      </c>
    </row>
    <row r="29" spans="1:9" hidden="1" x14ac:dyDescent="0.35">
      <c r="B29" s="17" t="s">
        <v>367</v>
      </c>
      <c r="C29" s="18" t="s">
        <v>369</v>
      </c>
      <c r="D29" s="18" t="s">
        <v>373</v>
      </c>
      <c r="E29" s="18"/>
      <c r="F29" s="18"/>
      <c r="G29" s="18"/>
      <c r="H29" s="18" t="e">
        <f t="shared" si="0"/>
        <v>#DIV/0!</v>
      </c>
    </row>
    <row r="30" spans="1:9" ht="15" hidden="1" thickBot="1" x14ac:dyDescent="0.4">
      <c r="B30" s="19" t="s">
        <v>367</v>
      </c>
      <c r="C30" s="20" t="s">
        <v>374</v>
      </c>
      <c r="D30" s="20"/>
      <c r="E30" s="20"/>
      <c r="F30" s="20"/>
      <c r="G30" s="20"/>
      <c r="H30" s="18" t="e">
        <f t="shared" si="0"/>
        <v>#DIV/0!</v>
      </c>
    </row>
  </sheetData>
  <mergeCells count="2">
    <mergeCell ref="B1:H1"/>
    <mergeCell ref="E7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B8D2-64AB-42A9-918F-80E38A9F1FED}">
  <dimension ref="B1:F13"/>
  <sheetViews>
    <sheetView workbookViewId="0">
      <selection activeCell="B6" sqref="B6:F6"/>
    </sheetView>
  </sheetViews>
  <sheetFormatPr defaultRowHeight="14.5" x14ac:dyDescent="0.35"/>
  <cols>
    <col min="1" max="1" width="8.7265625" style="10"/>
    <col min="2" max="2" width="10.26953125" style="31" customWidth="1"/>
    <col min="3" max="3" width="21.26953125" style="10" customWidth="1"/>
    <col min="4" max="4" width="32.08984375" style="10" customWidth="1"/>
    <col min="5" max="5" width="38.81640625" style="10" customWidth="1"/>
    <col min="6" max="6" width="42.6328125" style="10" customWidth="1"/>
    <col min="7" max="16384" width="8.7265625" style="10"/>
  </cols>
  <sheetData>
    <row r="1" spans="2:6" ht="16" thickTop="1" x14ac:dyDescent="0.35">
      <c r="B1" s="27"/>
      <c r="C1" s="42" t="s">
        <v>390</v>
      </c>
      <c r="D1" s="42"/>
      <c r="E1" s="42"/>
      <c r="F1" s="43"/>
    </row>
    <row r="2" spans="2:6" x14ac:dyDescent="0.35">
      <c r="B2" s="28" t="s">
        <v>416</v>
      </c>
      <c r="C2" s="25" t="s">
        <v>380</v>
      </c>
      <c r="D2" s="25" t="s">
        <v>381</v>
      </c>
      <c r="E2" s="25" t="s">
        <v>382</v>
      </c>
      <c r="F2" s="26" t="s">
        <v>383</v>
      </c>
    </row>
    <row r="3" spans="2:6" ht="24" x14ac:dyDescent="0.35">
      <c r="B3" s="29">
        <v>1</v>
      </c>
      <c r="C3" s="16" t="s">
        <v>415</v>
      </c>
      <c r="D3" s="16" t="s">
        <v>417</v>
      </c>
      <c r="E3" s="16" t="s">
        <v>424</v>
      </c>
      <c r="F3" s="21" t="s">
        <v>418</v>
      </c>
    </row>
    <row r="4" spans="2:6" ht="58.5" x14ac:dyDescent="0.35">
      <c r="B4" s="29">
        <v>2</v>
      </c>
      <c r="C4" s="16" t="s">
        <v>422</v>
      </c>
      <c r="D4" s="16" t="s">
        <v>421</v>
      </c>
      <c r="E4" s="16" t="s">
        <v>420</v>
      </c>
      <c r="F4" s="21" t="s">
        <v>430</v>
      </c>
    </row>
    <row r="5" spans="2:6" ht="47" x14ac:dyDescent="0.35">
      <c r="B5" s="29">
        <v>3</v>
      </c>
      <c r="C5" s="16" t="s">
        <v>419</v>
      </c>
      <c r="D5" s="16" t="s">
        <v>423</v>
      </c>
      <c r="E5" s="16" t="s">
        <v>425</v>
      </c>
      <c r="F5" s="21" t="s">
        <v>431</v>
      </c>
    </row>
    <row r="6" spans="2:6" s="11" customFormat="1" x14ac:dyDescent="0.35">
      <c r="B6" s="44"/>
      <c r="C6" s="45"/>
      <c r="D6" s="45"/>
      <c r="E6" s="45"/>
      <c r="F6" s="46"/>
    </row>
    <row r="7" spans="2:6" ht="24" x14ac:dyDescent="0.35">
      <c r="B7" s="29"/>
      <c r="C7" s="16" t="s">
        <v>426</v>
      </c>
      <c r="D7" s="16" t="s">
        <v>384</v>
      </c>
      <c r="E7" s="16" t="s">
        <v>429</v>
      </c>
      <c r="F7" s="21" t="s">
        <v>428</v>
      </c>
    </row>
    <row r="8" spans="2:6" ht="24" x14ac:dyDescent="0.35">
      <c r="B8" s="29"/>
      <c r="C8" s="16" t="s">
        <v>427</v>
      </c>
      <c r="D8" s="16" t="s">
        <v>385</v>
      </c>
      <c r="E8" s="16"/>
      <c r="F8" s="21"/>
    </row>
    <row r="9" spans="2:6" ht="24" x14ac:dyDescent="0.35">
      <c r="B9" s="29"/>
      <c r="C9" s="16"/>
      <c r="D9" s="16" t="s">
        <v>386</v>
      </c>
      <c r="E9" s="16"/>
      <c r="F9" s="21"/>
    </row>
    <row r="10" spans="2:6" ht="24" x14ac:dyDescent="0.35">
      <c r="B10" s="29"/>
      <c r="C10" s="16"/>
      <c r="D10" s="16" t="s">
        <v>387</v>
      </c>
      <c r="E10" s="16"/>
      <c r="F10" s="21"/>
    </row>
    <row r="11" spans="2:6" ht="24" x14ac:dyDescent="0.35">
      <c r="B11" s="29"/>
      <c r="C11" s="16"/>
      <c r="D11" s="16" t="s">
        <v>388</v>
      </c>
      <c r="E11" s="16"/>
      <c r="F11" s="21"/>
    </row>
    <row r="12" spans="2:6" ht="15" thickBot="1" x14ac:dyDescent="0.4">
      <c r="B12" s="30"/>
      <c r="C12" s="22"/>
      <c r="D12" s="22" t="s">
        <v>389</v>
      </c>
      <c r="E12" s="22"/>
      <c r="F12" s="23"/>
    </row>
    <row r="13" spans="2:6" ht="15" thickTop="1" x14ac:dyDescent="0.35"/>
  </sheetData>
  <mergeCells count="2">
    <mergeCell ref="C1:F1"/>
    <mergeCell ref="B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activeCell="A11" sqref="A11"/>
    </sheetView>
  </sheetViews>
  <sheetFormatPr defaultRowHeight="14.5" x14ac:dyDescent="0.35"/>
  <cols>
    <col min="1" max="1" width="30" customWidth="1"/>
    <col min="2" max="11" width="15" customWidth="1"/>
  </cols>
  <sheetData>
    <row r="1" spans="1:11" ht="21" x14ac:dyDescent="0.5">
      <c r="A1" s="48" t="s">
        <v>404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11</v>
      </c>
      <c r="B5" s="3" t="s">
        <v>12</v>
      </c>
      <c r="C5" s="3" t="s">
        <v>13</v>
      </c>
      <c r="D5" s="3" t="s">
        <v>14</v>
      </c>
      <c r="E5" s="3"/>
      <c r="F5" s="3"/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17</v>
      </c>
      <c r="B6" s="3" t="s">
        <v>18</v>
      </c>
      <c r="C6" s="3" t="s">
        <v>19</v>
      </c>
      <c r="D6" s="3" t="s">
        <v>20</v>
      </c>
      <c r="E6" s="3"/>
      <c r="F6" s="3"/>
      <c r="G6" s="3" t="s">
        <v>15</v>
      </c>
      <c r="H6" s="4" t="s">
        <v>16</v>
      </c>
      <c r="I6" s="3"/>
      <c r="J6" s="3"/>
      <c r="K6" s="3"/>
    </row>
    <row r="7" spans="1:11" x14ac:dyDescent="0.35">
      <c r="A7" s="2" t="s">
        <v>21</v>
      </c>
      <c r="B7" s="3" t="s">
        <v>18</v>
      </c>
      <c r="C7" s="3" t="s">
        <v>22</v>
      </c>
      <c r="D7" s="3" t="s">
        <v>23</v>
      </c>
      <c r="E7" s="3"/>
      <c r="F7" s="3"/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24</v>
      </c>
      <c r="B8" s="3" t="s">
        <v>18</v>
      </c>
      <c r="C8" s="3" t="s">
        <v>25</v>
      </c>
      <c r="D8" s="3" t="s">
        <v>26</v>
      </c>
      <c r="E8" s="3"/>
      <c r="F8" s="3"/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27</v>
      </c>
      <c r="B9" s="3" t="s">
        <v>12</v>
      </c>
      <c r="C9" s="3" t="s">
        <v>28</v>
      </c>
      <c r="D9" s="3" t="s">
        <v>29</v>
      </c>
      <c r="E9" s="3"/>
      <c r="F9" s="3"/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30</v>
      </c>
      <c r="B10" s="3" t="s">
        <v>12</v>
      </c>
      <c r="C10" s="3" t="s">
        <v>31</v>
      </c>
      <c r="D10" s="3" t="s">
        <v>32</v>
      </c>
      <c r="E10" s="3"/>
      <c r="F10" s="3"/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33</v>
      </c>
      <c r="B11" s="3" t="s">
        <v>34</v>
      </c>
      <c r="C11" s="3" t="s">
        <v>35</v>
      </c>
      <c r="D11" s="3" t="s">
        <v>36</v>
      </c>
      <c r="E11" s="3"/>
      <c r="F11" s="3"/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37</v>
      </c>
      <c r="B12" s="3" t="s">
        <v>34</v>
      </c>
      <c r="C12" s="3" t="s">
        <v>38</v>
      </c>
      <c r="D12" s="3" t="s">
        <v>39</v>
      </c>
      <c r="E12" s="3"/>
      <c r="F12" s="3"/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40</v>
      </c>
      <c r="B13" s="3" t="s">
        <v>41</v>
      </c>
      <c r="C13" s="3" t="s">
        <v>42</v>
      </c>
      <c r="D13" s="3" t="s">
        <v>43</v>
      </c>
      <c r="E13" s="3"/>
      <c r="F13" s="3"/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44</v>
      </c>
      <c r="B14" s="3" t="s">
        <v>41</v>
      </c>
      <c r="C14" s="3" t="s">
        <v>45</v>
      </c>
      <c r="D14" s="3" t="s">
        <v>46</v>
      </c>
      <c r="E14" s="3"/>
      <c r="F14" s="3"/>
      <c r="G14" s="3" t="s">
        <v>15</v>
      </c>
      <c r="H14" s="4" t="s">
        <v>16</v>
      </c>
      <c r="I14" s="3"/>
      <c r="J14" s="3"/>
      <c r="K14" s="3"/>
    </row>
    <row r="15" spans="1:11" x14ac:dyDescent="0.35">
      <c r="A15" s="2" t="s">
        <v>47</v>
      </c>
      <c r="B15" s="3" t="s">
        <v>41</v>
      </c>
      <c r="C15" s="3" t="s">
        <v>48</v>
      </c>
      <c r="D15" s="3" t="s">
        <v>49</v>
      </c>
      <c r="E15" s="3"/>
      <c r="F15" s="3"/>
      <c r="G15" s="3" t="s">
        <v>15</v>
      </c>
      <c r="H15" s="4" t="s">
        <v>16</v>
      </c>
      <c r="I15" s="3"/>
      <c r="J15" s="3"/>
      <c r="K15" s="3"/>
    </row>
    <row r="16" spans="1:11" x14ac:dyDescent="0.35">
      <c r="A16" s="2" t="s">
        <v>50</v>
      </c>
      <c r="B16" s="3" t="s">
        <v>51</v>
      </c>
      <c r="C16" s="3" t="s">
        <v>52</v>
      </c>
      <c r="D16" s="3" t="s">
        <v>53</v>
      </c>
      <c r="E16" s="3"/>
      <c r="F16" s="3"/>
      <c r="G16" s="3" t="s">
        <v>15</v>
      </c>
      <c r="H16" s="4" t="s">
        <v>16</v>
      </c>
      <c r="I16" s="3"/>
      <c r="J16" s="3"/>
      <c r="K16" s="3"/>
    </row>
    <row r="19" spans="1:8" ht="15.5" x14ac:dyDescent="0.35">
      <c r="A19" s="5" t="s">
        <v>54</v>
      </c>
    </row>
    <row r="20" spans="1:8" x14ac:dyDescent="0.35">
      <c r="A20" s="6" t="s">
        <v>55</v>
      </c>
      <c r="B20" s="6" t="s">
        <v>56</v>
      </c>
      <c r="C20" s="6" t="s">
        <v>57</v>
      </c>
      <c r="D20" s="6" t="s">
        <v>58</v>
      </c>
      <c r="E20" s="6" t="s">
        <v>59</v>
      </c>
      <c r="F20" s="6" t="s">
        <v>60</v>
      </c>
      <c r="G20" s="6" t="s">
        <v>61</v>
      </c>
      <c r="H20" s="6" t="s">
        <v>9</v>
      </c>
    </row>
    <row r="21" spans="1:8" x14ac:dyDescent="0.35">
      <c r="A21" s="2" t="s">
        <v>62</v>
      </c>
      <c r="B21" s="3"/>
      <c r="C21" s="3"/>
      <c r="D21" s="3"/>
      <c r="E21" s="3"/>
      <c r="F21" s="3"/>
      <c r="G21" s="3"/>
      <c r="H21" s="3"/>
    </row>
    <row r="22" spans="1:8" x14ac:dyDescent="0.35">
      <c r="A22" s="2" t="s">
        <v>63</v>
      </c>
      <c r="B22" s="3"/>
      <c r="C22" s="3"/>
      <c r="D22" s="3"/>
      <c r="E22" s="3"/>
      <c r="F22" s="3"/>
      <c r="G22" s="3"/>
      <c r="H22" s="3"/>
    </row>
    <row r="23" spans="1:8" x14ac:dyDescent="0.35">
      <c r="A23" s="2" t="s">
        <v>64</v>
      </c>
      <c r="B23" s="3"/>
      <c r="C23" s="3"/>
      <c r="D23" s="3"/>
      <c r="E23" s="3"/>
      <c r="F23" s="3"/>
      <c r="G23" s="3"/>
      <c r="H23" s="3"/>
    </row>
    <row r="24" spans="1:8" x14ac:dyDescent="0.35">
      <c r="A24" s="2" t="s">
        <v>65</v>
      </c>
      <c r="B24" s="3"/>
      <c r="C24" s="3"/>
      <c r="D24" s="3"/>
      <c r="E24" s="3"/>
      <c r="F24" s="3"/>
      <c r="G24" s="3"/>
      <c r="H24" s="3"/>
    </row>
    <row r="25" spans="1:8" x14ac:dyDescent="0.35">
      <c r="A25" s="2" t="s">
        <v>66</v>
      </c>
      <c r="B25" s="3"/>
      <c r="C25" s="3"/>
      <c r="D25" s="3"/>
      <c r="E25" s="3"/>
      <c r="F25" s="3"/>
      <c r="G25" s="3"/>
      <c r="H25" s="3"/>
    </row>
    <row r="26" spans="1:8" x14ac:dyDescent="0.35">
      <c r="A26" s="2" t="s">
        <v>67</v>
      </c>
      <c r="B26" s="3"/>
      <c r="C26" s="3"/>
      <c r="D26" s="3"/>
      <c r="E26" s="3"/>
      <c r="F26" s="3"/>
      <c r="G26" s="3"/>
      <c r="H26" s="3"/>
    </row>
    <row r="27" spans="1:8" x14ac:dyDescent="0.35">
      <c r="A27" s="7" t="s">
        <v>68</v>
      </c>
      <c r="B27" s="8"/>
      <c r="C27" s="8"/>
      <c r="D27" s="8"/>
      <c r="E27" s="8"/>
      <c r="F27" s="8"/>
      <c r="G27" s="8"/>
      <c r="H27" s="8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>
      <selection activeCell="A5" sqref="A5"/>
    </sheetView>
  </sheetViews>
  <sheetFormatPr defaultRowHeight="14.5" x14ac:dyDescent="0.35"/>
  <cols>
    <col min="1" max="1" width="35" customWidth="1"/>
    <col min="2" max="11" width="15" customWidth="1"/>
  </cols>
  <sheetData>
    <row r="1" spans="1:11" ht="21" x14ac:dyDescent="0.5">
      <c r="A1" s="48" t="s">
        <v>405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69</v>
      </c>
      <c r="B5" s="3" t="s">
        <v>18</v>
      </c>
      <c r="C5" s="3" t="s">
        <v>70</v>
      </c>
      <c r="D5" s="3" t="s">
        <v>71</v>
      </c>
      <c r="E5" s="3"/>
      <c r="F5" s="3"/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72</v>
      </c>
      <c r="B6" s="3" t="s">
        <v>18</v>
      </c>
      <c r="C6" s="3" t="s">
        <v>73</v>
      </c>
      <c r="D6" s="3" t="s">
        <v>74</v>
      </c>
      <c r="E6" s="3"/>
      <c r="F6" s="3"/>
      <c r="G6" s="3" t="s">
        <v>15</v>
      </c>
      <c r="H6" s="4" t="s">
        <v>16</v>
      </c>
      <c r="I6" s="3"/>
      <c r="J6" s="3"/>
      <c r="K6" s="3"/>
    </row>
    <row r="7" spans="1:11" x14ac:dyDescent="0.35">
      <c r="A7" s="2" t="s">
        <v>75</v>
      </c>
      <c r="B7" s="3" t="s">
        <v>18</v>
      </c>
      <c r="C7" s="3" t="s">
        <v>76</v>
      </c>
      <c r="D7" s="3" t="s">
        <v>77</v>
      </c>
      <c r="E7" s="3"/>
      <c r="F7" s="3"/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78</v>
      </c>
      <c r="B8" s="3" t="s">
        <v>12</v>
      </c>
      <c r="C8" s="3" t="s">
        <v>79</v>
      </c>
      <c r="D8" s="3" t="s">
        <v>80</v>
      </c>
      <c r="E8" s="3"/>
      <c r="F8" s="3"/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81</v>
      </c>
      <c r="B9" s="3" t="s">
        <v>12</v>
      </c>
      <c r="C9" s="3" t="s">
        <v>82</v>
      </c>
      <c r="D9" s="3" t="s">
        <v>83</v>
      </c>
      <c r="E9" s="3"/>
      <c r="F9" s="3"/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84</v>
      </c>
      <c r="B10" s="3" t="s">
        <v>12</v>
      </c>
      <c r="C10" s="3" t="s">
        <v>85</v>
      </c>
      <c r="D10" s="3" t="s">
        <v>86</v>
      </c>
      <c r="E10" s="3"/>
      <c r="F10" s="3"/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87</v>
      </c>
      <c r="B11" s="3" t="s">
        <v>12</v>
      </c>
      <c r="C11" s="3" t="s">
        <v>88</v>
      </c>
      <c r="D11" s="3" t="s">
        <v>89</v>
      </c>
      <c r="E11" s="3"/>
      <c r="F11" s="3"/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90</v>
      </c>
      <c r="B12" s="3" t="s">
        <v>12</v>
      </c>
      <c r="C12" s="3" t="s">
        <v>91</v>
      </c>
      <c r="D12" s="3" t="s">
        <v>92</v>
      </c>
      <c r="E12" s="3"/>
      <c r="F12" s="3"/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93</v>
      </c>
      <c r="B13" s="3" t="s">
        <v>12</v>
      </c>
      <c r="C13" s="3" t="s">
        <v>94</v>
      </c>
      <c r="D13" s="3" t="s">
        <v>95</v>
      </c>
      <c r="E13" s="3"/>
      <c r="F13" s="3"/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96</v>
      </c>
      <c r="B14" s="3" t="s">
        <v>18</v>
      </c>
      <c r="C14" s="3" t="s">
        <v>97</v>
      </c>
      <c r="D14" s="3" t="s">
        <v>98</v>
      </c>
      <c r="E14" s="3"/>
      <c r="F14" s="3"/>
      <c r="G14" s="3" t="s">
        <v>15</v>
      </c>
      <c r="H14" s="4" t="s">
        <v>16</v>
      </c>
      <c r="I14" s="3"/>
      <c r="J14" s="3"/>
      <c r="K14" s="3"/>
    </row>
    <row r="15" spans="1:11" x14ac:dyDescent="0.35">
      <c r="A15" s="2" t="s">
        <v>99</v>
      </c>
      <c r="B15" s="3" t="s">
        <v>18</v>
      </c>
      <c r="C15" s="3" t="s">
        <v>100</v>
      </c>
      <c r="D15" s="3" t="s">
        <v>101</v>
      </c>
      <c r="E15" s="3"/>
      <c r="F15" s="3"/>
      <c r="G15" s="3" t="s">
        <v>15</v>
      </c>
      <c r="H15" s="4" t="s">
        <v>16</v>
      </c>
      <c r="I15" s="3"/>
      <c r="J15" s="3"/>
      <c r="K15" s="3"/>
    </row>
    <row r="16" spans="1:11" x14ac:dyDescent="0.35">
      <c r="A16" s="2" t="s">
        <v>102</v>
      </c>
      <c r="B16" s="3" t="s">
        <v>51</v>
      </c>
      <c r="C16" s="3" t="s">
        <v>103</v>
      </c>
      <c r="D16" s="3" t="s">
        <v>104</v>
      </c>
      <c r="E16" s="3"/>
      <c r="F16" s="3"/>
      <c r="G16" s="3" t="s">
        <v>15</v>
      </c>
      <c r="H16" s="4" t="s">
        <v>16</v>
      </c>
      <c r="I16" s="3"/>
      <c r="J16" s="3"/>
      <c r="K16" s="3"/>
    </row>
    <row r="17" spans="1:11" x14ac:dyDescent="0.35">
      <c r="A17" s="2" t="s">
        <v>105</v>
      </c>
      <c r="B17" s="3" t="s">
        <v>41</v>
      </c>
      <c r="C17" s="3" t="s">
        <v>106</v>
      </c>
      <c r="D17" s="3" t="s">
        <v>107</v>
      </c>
      <c r="E17" s="3"/>
      <c r="F17" s="3"/>
      <c r="G17" s="3" t="s">
        <v>15</v>
      </c>
      <c r="H17" s="4" t="s">
        <v>16</v>
      </c>
      <c r="I17" s="3"/>
      <c r="J17" s="3"/>
      <c r="K17" s="3"/>
    </row>
    <row r="18" spans="1:11" x14ac:dyDescent="0.35">
      <c r="A18" s="2" t="s">
        <v>108</v>
      </c>
      <c r="B18" s="3" t="s">
        <v>109</v>
      </c>
      <c r="C18" s="3" t="s">
        <v>110</v>
      </c>
      <c r="D18" s="3" t="s">
        <v>111</v>
      </c>
      <c r="E18" s="3"/>
      <c r="F18" s="3"/>
      <c r="G18" s="3" t="s">
        <v>15</v>
      </c>
      <c r="H18" s="4" t="s">
        <v>16</v>
      </c>
      <c r="I18" s="3"/>
      <c r="J18" s="3"/>
      <c r="K18" s="3"/>
    </row>
    <row r="19" spans="1:11" x14ac:dyDescent="0.35">
      <c r="A19" s="2" t="s">
        <v>112</v>
      </c>
      <c r="B19" s="3" t="s">
        <v>12</v>
      </c>
      <c r="C19" s="3" t="s">
        <v>31</v>
      </c>
      <c r="D19" s="3" t="s">
        <v>32</v>
      </c>
      <c r="E19" s="3"/>
      <c r="F19" s="3"/>
      <c r="G19" s="3" t="s">
        <v>15</v>
      </c>
      <c r="H19" s="4" t="s">
        <v>16</v>
      </c>
      <c r="I19" s="3"/>
      <c r="J19" s="3"/>
      <c r="K19" s="3"/>
    </row>
    <row r="22" spans="1:11" ht="15.5" x14ac:dyDescent="0.35">
      <c r="A22" s="5" t="s">
        <v>113</v>
      </c>
    </row>
    <row r="23" spans="1:11" x14ac:dyDescent="0.35">
      <c r="A23" s="6" t="s">
        <v>114</v>
      </c>
      <c r="B23" s="6" t="s">
        <v>115</v>
      </c>
      <c r="C23" s="6" t="s">
        <v>57</v>
      </c>
      <c r="D23" s="6" t="s">
        <v>81</v>
      </c>
      <c r="E23" s="6" t="s">
        <v>116</v>
      </c>
      <c r="F23" s="6" t="s">
        <v>60</v>
      </c>
      <c r="G23" s="6" t="s">
        <v>59</v>
      </c>
      <c r="H23" s="6" t="s">
        <v>9</v>
      </c>
    </row>
    <row r="24" spans="1:11" x14ac:dyDescent="0.35">
      <c r="A24" s="2" t="s">
        <v>117</v>
      </c>
      <c r="B24" s="3"/>
      <c r="C24" s="3"/>
      <c r="D24" s="3"/>
      <c r="E24" s="3"/>
      <c r="F24" s="3"/>
      <c r="G24" s="3"/>
      <c r="H24" s="3"/>
    </row>
    <row r="25" spans="1:11" x14ac:dyDescent="0.35">
      <c r="A25" s="2" t="s">
        <v>118</v>
      </c>
      <c r="B25" s="3"/>
      <c r="C25" s="3"/>
      <c r="D25" s="3"/>
      <c r="E25" s="3"/>
      <c r="F25" s="3"/>
      <c r="G25" s="3"/>
      <c r="H25" s="3"/>
    </row>
    <row r="26" spans="1:11" x14ac:dyDescent="0.35">
      <c r="A26" s="2" t="s">
        <v>64</v>
      </c>
      <c r="B26" s="3"/>
      <c r="C26" s="3"/>
      <c r="D26" s="3"/>
      <c r="E26" s="3"/>
      <c r="F26" s="3"/>
      <c r="G26" s="3"/>
      <c r="H26" s="3"/>
    </row>
    <row r="27" spans="1:11" x14ac:dyDescent="0.35">
      <c r="A27" s="2" t="s">
        <v>65</v>
      </c>
      <c r="B27" s="3"/>
      <c r="C27" s="3"/>
      <c r="D27" s="3"/>
      <c r="E27" s="3"/>
      <c r="F27" s="3"/>
      <c r="G27" s="3"/>
      <c r="H27" s="3"/>
    </row>
    <row r="28" spans="1:11" ht="29" x14ac:dyDescent="0.35">
      <c r="A28" s="2" t="s">
        <v>119</v>
      </c>
      <c r="B28" s="3"/>
      <c r="C28" s="3"/>
      <c r="D28" s="3"/>
      <c r="E28" s="3"/>
      <c r="F28" s="3"/>
      <c r="G28" s="3"/>
      <c r="H28" s="3"/>
    </row>
    <row r="29" spans="1:11" x14ac:dyDescent="0.35">
      <c r="A29" s="2" t="s">
        <v>120</v>
      </c>
      <c r="B29" s="3"/>
      <c r="C29" s="3"/>
      <c r="D29" s="3"/>
      <c r="E29" s="3"/>
      <c r="F29" s="3"/>
      <c r="G29" s="3"/>
      <c r="H29" s="3"/>
    </row>
    <row r="30" spans="1:11" x14ac:dyDescent="0.35">
      <c r="A30" s="2" t="s">
        <v>121</v>
      </c>
      <c r="B30" s="3"/>
      <c r="C30" s="3"/>
      <c r="D30" s="3"/>
      <c r="E30" s="3"/>
      <c r="F30" s="3"/>
      <c r="G30" s="3"/>
      <c r="H30" s="3"/>
    </row>
    <row r="31" spans="1:11" x14ac:dyDescent="0.35">
      <c r="A31" s="2" t="s">
        <v>122</v>
      </c>
      <c r="B31" s="3"/>
      <c r="C31" s="3"/>
      <c r="D31" s="3"/>
      <c r="E31" s="3"/>
      <c r="F31" s="3"/>
      <c r="G31" s="3"/>
      <c r="H31" s="3"/>
    </row>
    <row r="32" spans="1:11" x14ac:dyDescent="0.35">
      <c r="A32" s="2" t="s">
        <v>123</v>
      </c>
      <c r="B32" s="3"/>
      <c r="C32" s="3"/>
      <c r="D32" s="3"/>
      <c r="E32" s="3"/>
      <c r="F32" s="3"/>
      <c r="G32" s="3"/>
      <c r="H32" s="3"/>
    </row>
    <row r="33" spans="1:8" x14ac:dyDescent="0.35">
      <c r="A33" s="7" t="s">
        <v>68</v>
      </c>
      <c r="B33" s="8"/>
      <c r="C33" s="8"/>
      <c r="D33" s="8"/>
      <c r="E33" s="8"/>
      <c r="F33" s="8"/>
      <c r="G33" s="8"/>
      <c r="H33" s="8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activeCell="F17" sqref="F17"/>
    </sheetView>
  </sheetViews>
  <sheetFormatPr defaultRowHeight="14.5" x14ac:dyDescent="0.35"/>
  <cols>
    <col min="1" max="1" width="30" customWidth="1"/>
    <col min="2" max="11" width="15" customWidth="1"/>
  </cols>
  <sheetData>
    <row r="1" spans="1:11" ht="21" x14ac:dyDescent="0.5">
      <c r="A1" s="49" t="s">
        <v>124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125</v>
      </c>
      <c r="B5" s="3" t="s">
        <v>18</v>
      </c>
      <c r="C5" s="3" t="s">
        <v>126</v>
      </c>
      <c r="D5" s="3" t="s">
        <v>127</v>
      </c>
      <c r="E5" s="3"/>
      <c r="F5" s="3" t="s">
        <v>406</v>
      </c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128</v>
      </c>
      <c r="B6" s="3" t="s">
        <v>18</v>
      </c>
      <c r="C6" s="3" t="s">
        <v>100</v>
      </c>
      <c r="D6" s="3" t="s">
        <v>71</v>
      </c>
      <c r="E6" s="3"/>
      <c r="F6" s="3"/>
      <c r="G6" s="3" t="s">
        <v>15</v>
      </c>
      <c r="H6" s="4" t="s">
        <v>16</v>
      </c>
      <c r="I6" s="3"/>
      <c r="J6" s="3"/>
      <c r="K6" s="3"/>
    </row>
    <row r="7" spans="1:11" x14ac:dyDescent="0.35">
      <c r="A7" s="2" t="s">
        <v>129</v>
      </c>
      <c r="B7" s="3" t="s">
        <v>18</v>
      </c>
      <c r="C7" s="3" t="s">
        <v>73</v>
      </c>
      <c r="D7" s="3" t="s">
        <v>130</v>
      </c>
      <c r="E7" s="3"/>
      <c r="F7" s="3"/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131</v>
      </c>
      <c r="B8" s="3" t="s">
        <v>132</v>
      </c>
      <c r="C8" s="3" t="s">
        <v>133</v>
      </c>
      <c r="D8" s="3" t="s">
        <v>134</v>
      </c>
      <c r="E8" s="3"/>
      <c r="F8" s="3" t="s">
        <v>407</v>
      </c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135</v>
      </c>
      <c r="B9" s="3" t="s">
        <v>132</v>
      </c>
      <c r="C9" s="3" t="s">
        <v>136</v>
      </c>
      <c r="D9" s="3" t="s">
        <v>137</v>
      </c>
      <c r="E9" s="3"/>
      <c r="F9" s="3">
        <v>1</v>
      </c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138</v>
      </c>
      <c r="B10" s="3" t="s">
        <v>18</v>
      </c>
      <c r="C10" s="3" t="s">
        <v>31</v>
      </c>
      <c r="D10" s="3" t="s">
        <v>32</v>
      </c>
      <c r="E10" s="3"/>
      <c r="F10" s="3" t="s">
        <v>31</v>
      </c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139</v>
      </c>
      <c r="B11" s="3" t="s">
        <v>34</v>
      </c>
      <c r="C11" s="3" t="s">
        <v>38</v>
      </c>
      <c r="D11" s="3" t="s">
        <v>39</v>
      </c>
      <c r="E11" s="3"/>
      <c r="F11" s="3" t="s">
        <v>38</v>
      </c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140</v>
      </c>
      <c r="B12" s="3" t="s">
        <v>51</v>
      </c>
      <c r="C12" s="3" t="s">
        <v>85</v>
      </c>
      <c r="D12" s="3" t="s">
        <v>141</v>
      </c>
      <c r="E12" s="3"/>
      <c r="F12" s="3" t="s">
        <v>408</v>
      </c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142</v>
      </c>
      <c r="B13" s="3" t="s">
        <v>143</v>
      </c>
      <c r="C13" s="3" t="s">
        <v>144</v>
      </c>
      <c r="D13" s="3" t="s">
        <v>145</v>
      </c>
      <c r="E13" s="3"/>
      <c r="F13" s="3" t="s">
        <v>408</v>
      </c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146</v>
      </c>
      <c r="B14" s="3" t="s">
        <v>51</v>
      </c>
      <c r="C14" s="3" t="s">
        <v>134</v>
      </c>
      <c r="D14" s="3" t="s">
        <v>147</v>
      </c>
      <c r="E14" s="3"/>
      <c r="F14" s="3" t="s">
        <v>408</v>
      </c>
      <c r="G14" s="3" t="s">
        <v>15</v>
      </c>
      <c r="H14" s="4" t="s">
        <v>16</v>
      </c>
      <c r="I14" s="3"/>
      <c r="J14" s="3"/>
      <c r="K14" s="3"/>
    </row>
    <row r="15" spans="1:11" x14ac:dyDescent="0.35">
      <c r="A15" s="2" t="s">
        <v>148</v>
      </c>
      <c r="B15" s="3" t="s">
        <v>51</v>
      </c>
      <c r="C15" s="3" t="s">
        <v>31</v>
      </c>
      <c r="D15" s="3" t="s">
        <v>149</v>
      </c>
      <c r="E15" s="3"/>
      <c r="F15" s="3" t="s">
        <v>408</v>
      </c>
      <c r="G15" s="3" t="s">
        <v>15</v>
      </c>
      <c r="H15" s="4" t="s">
        <v>16</v>
      </c>
      <c r="I15" s="3"/>
      <c r="J15" s="3"/>
      <c r="K15" s="3"/>
    </row>
    <row r="16" spans="1:11" x14ac:dyDescent="0.35">
      <c r="A16" s="2" t="s">
        <v>150</v>
      </c>
      <c r="B16" s="3" t="s">
        <v>34</v>
      </c>
      <c r="C16" s="3" t="s">
        <v>151</v>
      </c>
      <c r="D16" s="3" t="s">
        <v>152</v>
      </c>
      <c r="E16" s="3"/>
      <c r="F16" s="3" t="s">
        <v>408</v>
      </c>
      <c r="G16" s="3" t="s">
        <v>15</v>
      </c>
      <c r="H16" s="4" t="s">
        <v>16</v>
      </c>
      <c r="I16" s="3"/>
      <c r="J16" s="3"/>
      <c r="K16" s="3"/>
    </row>
    <row r="19" spans="1:8" ht="15.5" x14ac:dyDescent="0.35">
      <c r="A19" s="5" t="s">
        <v>153</v>
      </c>
    </row>
    <row r="20" spans="1:8" x14ac:dyDescent="0.35">
      <c r="A20" s="6" t="s">
        <v>154</v>
      </c>
      <c r="B20" s="6" t="s">
        <v>115</v>
      </c>
      <c r="C20" s="6" t="s">
        <v>57</v>
      </c>
      <c r="D20" s="6" t="s">
        <v>61</v>
      </c>
      <c r="E20" s="6" t="s">
        <v>60</v>
      </c>
      <c r="F20" s="6" t="s">
        <v>155</v>
      </c>
      <c r="G20" s="6" t="s">
        <v>156</v>
      </c>
      <c r="H20" s="6" t="s">
        <v>7</v>
      </c>
    </row>
    <row r="21" spans="1:8" x14ac:dyDescent="0.35">
      <c r="A21" s="2" t="s">
        <v>157</v>
      </c>
      <c r="B21" s="3"/>
      <c r="C21" s="3"/>
      <c r="D21" s="3"/>
      <c r="E21" s="3"/>
      <c r="F21" s="3"/>
      <c r="G21" s="3"/>
      <c r="H21" s="4" t="s">
        <v>16</v>
      </c>
    </row>
    <row r="22" spans="1:8" x14ac:dyDescent="0.35">
      <c r="A22" s="2" t="s">
        <v>158</v>
      </c>
      <c r="B22" s="3"/>
      <c r="C22" s="3"/>
      <c r="D22" s="3"/>
      <c r="E22" s="3"/>
      <c r="F22" s="3"/>
      <c r="G22" s="3"/>
      <c r="H22" s="4" t="s">
        <v>16</v>
      </c>
    </row>
    <row r="23" spans="1:8" x14ac:dyDescent="0.35">
      <c r="A23" s="2" t="s">
        <v>159</v>
      </c>
      <c r="B23" s="3"/>
      <c r="C23" s="3"/>
      <c r="D23" s="3"/>
      <c r="E23" s="3"/>
      <c r="F23" s="3"/>
      <c r="G23" s="3"/>
      <c r="H23" s="4" t="s">
        <v>16</v>
      </c>
    </row>
    <row r="24" spans="1:8" x14ac:dyDescent="0.35">
      <c r="A24" s="2" t="s">
        <v>160</v>
      </c>
      <c r="B24" s="3"/>
      <c r="C24" s="3"/>
      <c r="D24" s="3"/>
      <c r="E24" s="3"/>
      <c r="F24" s="3"/>
      <c r="G24" s="3"/>
      <c r="H24" s="4" t="s">
        <v>16</v>
      </c>
    </row>
    <row r="25" spans="1:8" x14ac:dyDescent="0.35">
      <c r="A25" s="2" t="s">
        <v>161</v>
      </c>
      <c r="B25" s="3"/>
      <c r="C25" s="3"/>
      <c r="D25" s="3"/>
      <c r="E25" s="3"/>
      <c r="F25" s="3"/>
      <c r="G25" s="3"/>
      <c r="H25" s="4" t="s">
        <v>16</v>
      </c>
    </row>
    <row r="26" spans="1:8" x14ac:dyDescent="0.35">
      <c r="A26" s="2" t="s">
        <v>162</v>
      </c>
      <c r="B26" s="3"/>
      <c r="C26" s="3"/>
      <c r="D26" s="3"/>
      <c r="E26" s="3"/>
      <c r="F26" s="3"/>
      <c r="G26" s="3"/>
      <c r="H26" s="4" t="s">
        <v>16</v>
      </c>
    </row>
    <row r="27" spans="1:8" x14ac:dyDescent="0.35">
      <c r="A27" s="2" t="s">
        <v>163</v>
      </c>
      <c r="B27" s="3"/>
      <c r="C27" s="3"/>
      <c r="D27" s="3"/>
      <c r="E27" s="3"/>
      <c r="F27" s="3"/>
      <c r="G27" s="3"/>
      <c r="H27" s="4" t="s">
        <v>16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workbookViewId="0">
      <selection activeCell="A2" sqref="A2"/>
    </sheetView>
  </sheetViews>
  <sheetFormatPr defaultRowHeight="14.5" x14ac:dyDescent="0.35"/>
  <cols>
    <col min="1" max="1" width="30" customWidth="1"/>
    <col min="2" max="11" width="15" customWidth="1"/>
  </cols>
  <sheetData>
    <row r="1" spans="1:11" ht="21" x14ac:dyDescent="0.5">
      <c r="A1" s="48" t="s">
        <v>409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164</v>
      </c>
      <c r="B5" s="3" t="s">
        <v>34</v>
      </c>
      <c r="C5" s="3" t="s">
        <v>165</v>
      </c>
      <c r="D5" s="3" t="s">
        <v>166</v>
      </c>
      <c r="E5" s="3"/>
      <c r="F5" s="3"/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167</v>
      </c>
      <c r="B6" s="3" t="s">
        <v>34</v>
      </c>
      <c r="C6" s="3" t="s">
        <v>35</v>
      </c>
      <c r="D6" s="3" t="s">
        <v>36</v>
      </c>
      <c r="E6" s="3"/>
      <c r="F6" s="3"/>
      <c r="G6" s="3" t="s">
        <v>15</v>
      </c>
      <c r="H6" s="4" t="s">
        <v>16</v>
      </c>
      <c r="I6" s="3"/>
      <c r="J6" s="3"/>
      <c r="K6" s="3"/>
    </row>
    <row r="7" spans="1:11" x14ac:dyDescent="0.35">
      <c r="A7" s="2" t="s">
        <v>168</v>
      </c>
      <c r="B7" s="3" t="s">
        <v>169</v>
      </c>
      <c r="C7" s="3" t="s">
        <v>170</v>
      </c>
      <c r="D7" s="3" t="s">
        <v>171</v>
      </c>
      <c r="E7" s="3"/>
      <c r="F7" s="3"/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172</v>
      </c>
      <c r="B8" s="3" t="s">
        <v>132</v>
      </c>
      <c r="C8" s="3" t="s">
        <v>147</v>
      </c>
      <c r="D8" s="3" t="s">
        <v>173</v>
      </c>
      <c r="E8" s="3"/>
      <c r="F8" s="3"/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174</v>
      </c>
      <c r="B9" s="3" t="s">
        <v>132</v>
      </c>
      <c r="C9" s="3" t="s">
        <v>133</v>
      </c>
      <c r="D9" s="3" t="s">
        <v>134</v>
      </c>
      <c r="E9" s="3"/>
      <c r="F9" s="3"/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175</v>
      </c>
      <c r="B10" s="3" t="s">
        <v>132</v>
      </c>
      <c r="C10" s="3" t="s">
        <v>176</v>
      </c>
      <c r="D10" s="3" t="s">
        <v>13</v>
      </c>
      <c r="E10" s="3"/>
      <c r="F10" s="3"/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177</v>
      </c>
      <c r="B11" s="3" t="s">
        <v>132</v>
      </c>
      <c r="C11" s="3" t="s">
        <v>133</v>
      </c>
      <c r="D11" s="3" t="s">
        <v>134</v>
      </c>
      <c r="E11" s="3"/>
      <c r="F11" s="3"/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178</v>
      </c>
      <c r="B12" s="3" t="s">
        <v>179</v>
      </c>
      <c r="C12" s="3" t="s">
        <v>180</v>
      </c>
      <c r="D12" s="3" t="s">
        <v>181</v>
      </c>
      <c r="E12" s="3"/>
      <c r="F12" s="3"/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182</v>
      </c>
      <c r="B13" s="3" t="s">
        <v>179</v>
      </c>
      <c r="C13" s="3" t="s">
        <v>183</v>
      </c>
      <c r="D13" s="3" t="s">
        <v>184</v>
      </c>
      <c r="E13" s="3"/>
      <c r="F13" s="3"/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185</v>
      </c>
      <c r="B14" s="3" t="s">
        <v>179</v>
      </c>
      <c r="C14" s="3" t="s">
        <v>186</v>
      </c>
      <c r="D14" s="3" t="s">
        <v>187</v>
      </c>
      <c r="E14" s="3"/>
      <c r="F14" s="3"/>
      <c r="G14" s="3" t="s">
        <v>15</v>
      </c>
      <c r="H14" s="4" t="s">
        <v>16</v>
      </c>
      <c r="I14" s="3"/>
      <c r="J14" s="3"/>
      <c r="K14" s="3"/>
    </row>
    <row r="17" spans="1:8" ht="15.5" x14ac:dyDescent="0.35">
      <c r="A17" s="5" t="s">
        <v>188</v>
      </c>
    </row>
    <row r="18" spans="1:8" x14ac:dyDescent="0.35">
      <c r="A18" s="6" t="s">
        <v>189</v>
      </c>
      <c r="B18" s="6" t="s">
        <v>190</v>
      </c>
      <c r="C18" s="6" t="s">
        <v>57</v>
      </c>
      <c r="D18" s="6" t="s">
        <v>61</v>
      </c>
      <c r="E18" s="6" t="s">
        <v>58</v>
      </c>
      <c r="F18" s="6" t="s">
        <v>59</v>
      </c>
      <c r="G18" s="6" t="s">
        <v>191</v>
      </c>
      <c r="H18" s="6" t="s">
        <v>7</v>
      </c>
    </row>
    <row r="19" spans="1:8" x14ac:dyDescent="0.35">
      <c r="A19" s="2" t="s">
        <v>192</v>
      </c>
      <c r="B19" s="3"/>
      <c r="C19" s="3"/>
      <c r="D19" s="3"/>
      <c r="E19" s="3"/>
      <c r="F19" s="3"/>
      <c r="G19" s="3"/>
      <c r="H19" s="4" t="s">
        <v>16</v>
      </c>
    </row>
    <row r="20" spans="1:8" x14ac:dyDescent="0.35">
      <c r="A20" s="2" t="s">
        <v>193</v>
      </c>
      <c r="B20" s="3"/>
      <c r="C20" s="3"/>
      <c r="D20" s="3"/>
      <c r="E20" s="3"/>
      <c r="F20" s="3"/>
      <c r="G20" s="3"/>
      <c r="H20" s="4" t="s">
        <v>16</v>
      </c>
    </row>
    <row r="21" spans="1:8" x14ac:dyDescent="0.35">
      <c r="A21" s="2" t="s">
        <v>194</v>
      </c>
      <c r="B21" s="3"/>
      <c r="C21" s="3"/>
      <c r="D21" s="3"/>
      <c r="E21" s="3"/>
      <c r="F21" s="3"/>
      <c r="G21" s="3"/>
      <c r="H21" s="4" t="s">
        <v>16</v>
      </c>
    </row>
    <row r="22" spans="1:8" x14ac:dyDescent="0.35">
      <c r="A22" s="2" t="s">
        <v>195</v>
      </c>
      <c r="B22" s="3"/>
      <c r="C22" s="3"/>
      <c r="D22" s="3"/>
      <c r="E22" s="3"/>
      <c r="F22" s="3"/>
      <c r="G22" s="3"/>
      <c r="H22" s="4" t="s">
        <v>16</v>
      </c>
    </row>
    <row r="23" spans="1:8" x14ac:dyDescent="0.35">
      <c r="A23" s="2" t="s">
        <v>196</v>
      </c>
      <c r="B23" s="3"/>
      <c r="C23" s="3"/>
      <c r="D23" s="3"/>
      <c r="E23" s="3"/>
      <c r="F23" s="3"/>
      <c r="G23" s="3"/>
      <c r="H23" s="4" t="s">
        <v>16</v>
      </c>
    </row>
    <row r="24" spans="1:8" x14ac:dyDescent="0.35">
      <c r="A24" s="2" t="s">
        <v>197</v>
      </c>
      <c r="B24" s="3"/>
      <c r="C24" s="3"/>
      <c r="D24" s="3"/>
      <c r="E24" s="3"/>
      <c r="F24" s="3"/>
      <c r="G24" s="3"/>
      <c r="H24" s="4" t="s">
        <v>16</v>
      </c>
    </row>
    <row r="25" spans="1:8" x14ac:dyDescent="0.35">
      <c r="A25" s="7" t="s">
        <v>198</v>
      </c>
      <c r="B25" s="8"/>
      <c r="C25" s="8"/>
      <c r="D25" s="8"/>
      <c r="E25" s="8"/>
      <c r="F25" s="8"/>
      <c r="G25" s="8"/>
      <c r="H25" s="9" t="s">
        <v>16</v>
      </c>
    </row>
    <row r="28" spans="1:8" ht="15.5" x14ac:dyDescent="0.35">
      <c r="A28" s="5" t="s">
        <v>199</v>
      </c>
    </row>
    <row r="29" spans="1:8" ht="26" x14ac:dyDescent="0.35">
      <c r="A29" s="6" t="s">
        <v>200</v>
      </c>
      <c r="B29" s="6" t="s">
        <v>201</v>
      </c>
      <c r="C29" s="6" t="s">
        <v>202</v>
      </c>
      <c r="D29" s="6" t="s">
        <v>203</v>
      </c>
      <c r="E29" s="6" t="s">
        <v>58</v>
      </c>
      <c r="F29" s="6" t="s">
        <v>41</v>
      </c>
      <c r="G29" s="6" t="s">
        <v>204</v>
      </c>
      <c r="H29" s="6" t="s">
        <v>7</v>
      </c>
    </row>
    <row r="30" spans="1:8" x14ac:dyDescent="0.35">
      <c r="A30" s="2" t="s">
        <v>205</v>
      </c>
      <c r="B30" s="3"/>
      <c r="C30" s="3"/>
      <c r="D30" s="3"/>
      <c r="E30" s="3"/>
      <c r="F30" s="3"/>
      <c r="G30" s="3"/>
      <c r="H30" s="4" t="s">
        <v>16</v>
      </c>
    </row>
    <row r="31" spans="1:8" x14ac:dyDescent="0.35">
      <c r="A31" s="2" t="s">
        <v>206</v>
      </c>
      <c r="B31" s="3"/>
      <c r="C31" s="3"/>
      <c r="D31" s="3"/>
      <c r="E31" s="3"/>
      <c r="F31" s="3"/>
      <c r="G31" s="3"/>
      <c r="H31" s="4" t="s">
        <v>16</v>
      </c>
    </row>
    <row r="32" spans="1:8" x14ac:dyDescent="0.35">
      <c r="A32" s="2" t="s">
        <v>207</v>
      </c>
      <c r="B32" s="3"/>
      <c r="C32" s="3"/>
      <c r="D32" s="3"/>
      <c r="E32" s="3"/>
      <c r="F32" s="3"/>
      <c r="G32" s="3"/>
      <c r="H32" s="4" t="s">
        <v>16</v>
      </c>
    </row>
    <row r="33" spans="1:8" x14ac:dyDescent="0.35">
      <c r="A33" s="2" t="s">
        <v>208</v>
      </c>
      <c r="B33" s="3"/>
      <c r="C33" s="3"/>
      <c r="D33" s="3"/>
      <c r="E33" s="3"/>
      <c r="F33" s="3"/>
      <c r="G33" s="3"/>
      <c r="H33" s="4" t="s">
        <v>16</v>
      </c>
    </row>
    <row r="34" spans="1:8" x14ac:dyDescent="0.35">
      <c r="A34" s="2" t="s">
        <v>209</v>
      </c>
      <c r="B34" s="3"/>
      <c r="C34" s="3"/>
      <c r="D34" s="3"/>
      <c r="E34" s="3"/>
      <c r="F34" s="3"/>
      <c r="G34" s="3"/>
      <c r="H34" s="4" t="s">
        <v>16</v>
      </c>
    </row>
    <row r="35" spans="1:8" x14ac:dyDescent="0.35">
      <c r="A35" s="2" t="s">
        <v>210</v>
      </c>
      <c r="B35" s="3"/>
      <c r="C35" s="3"/>
      <c r="D35" s="3"/>
      <c r="E35" s="3"/>
      <c r="F35" s="3"/>
      <c r="G35" s="3"/>
      <c r="H35" s="4" t="s">
        <v>16</v>
      </c>
    </row>
    <row r="36" spans="1:8" x14ac:dyDescent="0.35">
      <c r="A36" s="2" t="s">
        <v>211</v>
      </c>
      <c r="B36" s="3"/>
      <c r="C36" s="3"/>
      <c r="D36" s="3"/>
      <c r="E36" s="3"/>
      <c r="F36" s="3"/>
      <c r="G36" s="3"/>
      <c r="H36" s="4" t="s">
        <v>16</v>
      </c>
    </row>
    <row r="37" spans="1:8" x14ac:dyDescent="0.35">
      <c r="A37" s="2" t="s">
        <v>212</v>
      </c>
      <c r="B37" s="3"/>
      <c r="C37" s="3"/>
      <c r="D37" s="3"/>
      <c r="E37" s="3"/>
      <c r="F37" s="3"/>
      <c r="G37" s="3"/>
      <c r="H37" s="4" t="s">
        <v>16</v>
      </c>
    </row>
    <row r="38" spans="1:8" x14ac:dyDescent="0.35">
      <c r="A38" s="2" t="s">
        <v>213</v>
      </c>
      <c r="B38" s="3"/>
      <c r="C38" s="3"/>
      <c r="D38" s="3"/>
      <c r="E38" s="3"/>
      <c r="F38" s="3"/>
      <c r="G38" s="3"/>
      <c r="H38" s="4" t="s">
        <v>16</v>
      </c>
    </row>
    <row r="39" spans="1:8" x14ac:dyDescent="0.35">
      <c r="A39" s="2" t="s">
        <v>214</v>
      </c>
      <c r="B39" s="3"/>
      <c r="C39" s="3"/>
      <c r="D39" s="3"/>
      <c r="E39" s="3"/>
      <c r="F39" s="3"/>
      <c r="G39" s="3"/>
      <c r="H39" s="4" t="s">
        <v>16</v>
      </c>
    </row>
    <row r="40" spans="1:8" x14ac:dyDescent="0.35">
      <c r="A40" s="2" t="s">
        <v>215</v>
      </c>
      <c r="B40" s="3"/>
      <c r="C40" s="3"/>
      <c r="D40" s="3"/>
      <c r="E40" s="3"/>
      <c r="F40" s="3"/>
      <c r="G40" s="3"/>
      <c r="H40" s="4" t="s">
        <v>16</v>
      </c>
    </row>
    <row r="41" spans="1:8" x14ac:dyDescent="0.35">
      <c r="A41" s="2" t="s">
        <v>216</v>
      </c>
      <c r="B41" s="3"/>
      <c r="C41" s="3"/>
      <c r="D41" s="3"/>
      <c r="E41" s="3"/>
      <c r="F41" s="3"/>
      <c r="G41" s="3"/>
      <c r="H41" s="4" t="s">
        <v>16</v>
      </c>
    </row>
    <row r="42" spans="1:8" x14ac:dyDescent="0.35">
      <c r="A42" s="7" t="s">
        <v>68</v>
      </c>
      <c r="B42" s="8"/>
      <c r="C42" s="8" t="s">
        <v>217</v>
      </c>
      <c r="D42" s="8"/>
      <c r="E42" s="8"/>
      <c r="F42" s="8"/>
      <c r="G42" s="8"/>
      <c r="H42" s="9" t="s">
        <v>16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workbookViewId="0">
      <selection activeCell="A2" sqref="A2"/>
    </sheetView>
  </sheetViews>
  <sheetFormatPr defaultRowHeight="14.5" x14ac:dyDescent="0.35"/>
  <cols>
    <col min="1" max="1" width="30" customWidth="1"/>
    <col min="2" max="11" width="15" customWidth="1"/>
  </cols>
  <sheetData>
    <row r="1" spans="1:11" ht="21" x14ac:dyDescent="0.5">
      <c r="A1" s="48" t="s">
        <v>410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218</v>
      </c>
      <c r="B5" s="3" t="s">
        <v>219</v>
      </c>
      <c r="C5" s="3" t="s">
        <v>220</v>
      </c>
      <c r="D5" s="3" t="s">
        <v>221</v>
      </c>
      <c r="E5" s="3"/>
      <c r="F5" s="3"/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222</v>
      </c>
      <c r="B6" s="3" t="s">
        <v>219</v>
      </c>
      <c r="C6" s="3" t="s">
        <v>223</v>
      </c>
      <c r="D6" s="3" t="s">
        <v>224</v>
      </c>
      <c r="E6" s="3"/>
      <c r="F6" s="3"/>
      <c r="G6" s="3" t="s">
        <v>15</v>
      </c>
      <c r="H6" s="4" t="s">
        <v>16</v>
      </c>
      <c r="I6" s="3"/>
      <c r="J6" s="3"/>
      <c r="K6" s="3"/>
    </row>
    <row r="7" spans="1:11" x14ac:dyDescent="0.35">
      <c r="A7" s="2" t="s">
        <v>225</v>
      </c>
      <c r="B7" s="3" t="s">
        <v>219</v>
      </c>
      <c r="C7" s="3" t="s">
        <v>226</v>
      </c>
      <c r="D7" s="3" t="s">
        <v>227</v>
      </c>
      <c r="E7" s="3"/>
      <c r="F7" s="3"/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228</v>
      </c>
      <c r="B8" s="3" t="s">
        <v>219</v>
      </c>
      <c r="C8" s="3" t="s">
        <v>229</v>
      </c>
      <c r="D8" s="3" t="s">
        <v>230</v>
      </c>
      <c r="E8" s="3"/>
      <c r="F8" s="3"/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231</v>
      </c>
      <c r="B9" s="3" t="s">
        <v>219</v>
      </c>
      <c r="C9" s="3" t="s">
        <v>220</v>
      </c>
      <c r="D9" s="3" t="s">
        <v>221</v>
      </c>
      <c r="E9" s="3"/>
      <c r="F9" s="3"/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232</v>
      </c>
      <c r="B10" s="3" t="s">
        <v>219</v>
      </c>
      <c r="C10" s="3" t="s">
        <v>233</v>
      </c>
      <c r="D10" s="3" t="s">
        <v>234</v>
      </c>
      <c r="E10" s="3"/>
      <c r="F10" s="3"/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235</v>
      </c>
      <c r="B11" s="3" t="s">
        <v>219</v>
      </c>
      <c r="C11" s="3" t="s">
        <v>236</v>
      </c>
      <c r="D11" s="3" t="s">
        <v>237</v>
      </c>
      <c r="E11" s="3"/>
      <c r="F11" s="3"/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238</v>
      </c>
      <c r="B12" s="3" t="s">
        <v>51</v>
      </c>
      <c r="C12" s="3" t="s">
        <v>220</v>
      </c>
      <c r="D12" s="3" t="s">
        <v>221</v>
      </c>
      <c r="E12" s="3"/>
      <c r="F12" s="3"/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239</v>
      </c>
      <c r="B13" s="3" t="s">
        <v>51</v>
      </c>
      <c r="C13" s="3" t="s">
        <v>240</v>
      </c>
      <c r="D13" s="3" t="s">
        <v>241</v>
      </c>
      <c r="E13" s="3"/>
      <c r="F13" s="3"/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242</v>
      </c>
      <c r="B14" s="3" t="s">
        <v>51</v>
      </c>
      <c r="C14" s="3" t="s">
        <v>48</v>
      </c>
      <c r="D14" s="3" t="s">
        <v>49</v>
      </c>
      <c r="E14" s="3"/>
      <c r="F14" s="3"/>
      <c r="G14" s="3" t="s">
        <v>15</v>
      </c>
      <c r="H14" s="4" t="s">
        <v>16</v>
      </c>
      <c r="I14" s="3"/>
      <c r="J14" s="3"/>
      <c r="K14" s="3"/>
    </row>
    <row r="15" spans="1:11" x14ac:dyDescent="0.35">
      <c r="A15" s="2" t="s">
        <v>243</v>
      </c>
      <c r="B15" s="3" t="s">
        <v>51</v>
      </c>
      <c r="C15" s="3" t="s">
        <v>244</v>
      </c>
      <c r="D15" s="3" t="s">
        <v>245</v>
      </c>
      <c r="E15" s="3"/>
      <c r="F15" s="3"/>
      <c r="G15" s="3" t="s">
        <v>15</v>
      </c>
      <c r="H15" s="4" t="s">
        <v>16</v>
      </c>
      <c r="I15" s="3"/>
      <c r="J15" s="3"/>
      <c r="K15" s="3"/>
    </row>
    <row r="16" spans="1:11" x14ac:dyDescent="0.35">
      <c r="A16" s="2" t="s">
        <v>246</v>
      </c>
      <c r="B16" s="3" t="s">
        <v>179</v>
      </c>
      <c r="C16" s="3" t="s">
        <v>247</v>
      </c>
      <c r="D16" s="3" t="s">
        <v>248</v>
      </c>
      <c r="E16" s="3"/>
      <c r="F16" s="3"/>
      <c r="G16" s="3" t="s">
        <v>15</v>
      </c>
      <c r="H16" s="4" t="s">
        <v>16</v>
      </c>
      <c r="I16" s="3"/>
      <c r="J16" s="3"/>
      <c r="K16" s="3"/>
    </row>
    <row r="17" spans="1:11" x14ac:dyDescent="0.35">
      <c r="A17" s="2" t="s">
        <v>249</v>
      </c>
      <c r="B17" s="3" t="s">
        <v>250</v>
      </c>
      <c r="C17" s="3" t="s">
        <v>251</v>
      </c>
      <c r="D17" s="3" t="s">
        <v>233</v>
      </c>
      <c r="E17" s="3"/>
      <c r="F17" s="3"/>
      <c r="G17" s="3" t="s">
        <v>15</v>
      </c>
      <c r="H17" s="4" t="s">
        <v>16</v>
      </c>
      <c r="I17" s="3"/>
      <c r="J17" s="3" t="s">
        <v>252</v>
      </c>
      <c r="K17" s="3"/>
    </row>
    <row r="20" spans="1:11" ht="15.5" x14ac:dyDescent="0.35">
      <c r="A20" s="5" t="s">
        <v>253</v>
      </c>
    </row>
    <row r="21" spans="1:11" ht="26" x14ac:dyDescent="0.35">
      <c r="A21" s="6" t="s">
        <v>254</v>
      </c>
      <c r="B21" s="6" t="s">
        <v>222</v>
      </c>
      <c r="C21" s="6" t="s">
        <v>202</v>
      </c>
      <c r="D21" s="6" t="s">
        <v>225</v>
      </c>
      <c r="E21" s="6" t="s">
        <v>255</v>
      </c>
      <c r="F21" s="6" t="s">
        <v>256</v>
      </c>
      <c r="G21" s="6" t="s">
        <v>7</v>
      </c>
    </row>
    <row r="22" spans="1:11" x14ac:dyDescent="0.35">
      <c r="A22" s="2" t="s">
        <v>257</v>
      </c>
      <c r="B22" s="3"/>
      <c r="C22" s="3"/>
      <c r="D22" s="3"/>
      <c r="E22" s="3"/>
      <c r="F22" s="3" t="s">
        <v>258</v>
      </c>
      <c r="G22" s="4" t="s">
        <v>16</v>
      </c>
    </row>
    <row r="23" spans="1:11" x14ac:dyDescent="0.35">
      <c r="A23" s="2" t="s">
        <v>259</v>
      </c>
      <c r="B23" s="3"/>
      <c r="C23" s="3"/>
      <c r="D23" s="3"/>
      <c r="E23" s="3"/>
      <c r="F23" s="3" t="s">
        <v>258</v>
      </c>
      <c r="G23" s="4" t="s">
        <v>16</v>
      </c>
    </row>
    <row r="24" spans="1:11" x14ac:dyDescent="0.35">
      <c r="A24" s="2" t="s">
        <v>260</v>
      </c>
      <c r="B24" s="3"/>
      <c r="C24" s="3"/>
      <c r="D24" s="3"/>
      <c r="E24" s="3"/>
      <c r="F24" s="3" t="s">
        <v>261</v>
      </c>
      <c r="G24" s="4" t="s">
        <v>16</v>
      </c>
    </row>
    <row r="25" spans="1:11" x14ac:dyDescent="0.35">
      <c r="A25" s="2" t="s">
        <v>262</v>
      </c>
      <c r="B25" s="3"/>
      <c r="C25" s="3"/>
      <c r="D25" s="3"/>
      <c r="E25" s="3"/>
      <c r="F25" s="3" t="s">
        <v>261</v>
      </c>
      <c r="G25" s="4" t="s">
        <v>16</v>
      </c>
    </row>
    <row r="26" spans="1:11" x14ac:dyDescent="0.35">
      <c r="A26" s="2" t="s">
        <v>263</v>
      </c>
      <c r="B26" s="3"/>
      <c r="C26" s="3"/>
      <c r="D26" s="3"/>
      <c r="E26" s="3"/>
      <c r="F26" s="3" t="s">
        <v>264</v>
      </c>
      <c r="G26" s="4" t="s">
        <v>16</v>
      </c>
    </row>
    <row r="27" spans="1:11" x14ac:dyDescent="0.35">
      <c r="A27" s="2" t="s">
        <v>265</v>
      </c>
      <c r="B27" s="3"/>
      <c r="C27" s="3"/>
      <c r="D27" s="3"/>
      <c r="E27" s="3"/>
      <c r="F27" s="3" t="s">
        <v>264</v>
      </c>
      <c r="G27" s="4" t="s">
        <v>16</v>
      </c>
    </row>
    <row r="28" spans="1:11" x14ac:dyDescent="0.35">
      <c r="A28" s="2" t="s">
        <v>143</v>
      </c>
      <c r="B28" s="3"/>
      <c r="C28" s="3"/>
      <c r="D28" s="3"/>
      <c r="E28" s="3"/>
      <c r="F28" s="3" t="s">
        <v>264</v>
      </c>
      <c r="G28" s="4" t="s">
        <v>16</v>
      </c>
    </row>
    <row r="29" spans="1:11" x14ac:dyDescent="0.35">
      <c r="A29" s="2" t="s">
        <v>266</v>
      </c>
      <c r="B29" s="3"/>
      <c r="C29" s="3"/>
      <c r="D29" s="3"/>
      <c r="E29" s="3"/>
      <c r="F29" s="3" t="s">
        <v>264</v>
      </c>
      <c r="G29" s="4" t="s">
        <v>16</v>
      </c>
    </row>
    <row r="30" spans="1:11" x14ac:dyDescent="0.35">
      <c r="A30" s="7" t="s">
        <v>68</v>
      </c>
      <c r="B30" s="8"/>
      <c r="C30" s="8" t="s">
        <v>217</v>
      </c>
      <c r="D30" s="8"/>
      <c r="E30" s="8"/>
      <c r="F30" s="8"/>
      <c r="G30" s="9" t="s">
        <v>16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activeCell="F11" sqref="F11"/>
    </sheetView>
  </sheetViews>
  <sheetFormatPr defaultRowHeight="14.5" x14ac:dyDescent="0.35"/>
  <cols>
    <col min="1" max="1" width="30" customWidth="1"/>
    <col min="2" max="11" width="15" customWidth="1"/>
  </cols>
  <sheetData>
    <row r="1" spans="1:11" ht="21" x14ac:dyDescent="0.5">
      <c r="A1" s="49" t="s">
        <v>267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 s="2" t="s">
        <v>268</v>
      </c>
      <c r="B5" s="3" t="s">
        <v>12</v>
      </c>
      <c r="C5" s="3" t="s">
        <v>13</v>
      </c>
      <c r="D5" s="3" t="s">
        <v>14</v>
      </c>
      <c r="E5" s="3"/>
      <c r="F5" s="3" t="s">
        <v>411</v>
      </c>
      <c r="G5" s="3" t="s">
        <v>15</v>
      </c>
      <c r="H5" s="4" t="s">
        <v>16</v>
      </c>
      <c r="I5" s="3"/>
      <c r="J5" s="3"/>
      <c r="K5" s="3"/>
    </row>
    <row r="6" spans="1:11" x14ac:dyDescent="0.35">
      <c r="A6" s="2" t="s">
        <v>269</v>
      </c>
      <c r="B6" s="3" t="s">
        <v>12</v>
      </c>
      <c r="C6" s="3" t="s">
        <v>88</v>
      </c>
      <c r="D6" s="3" t="s">
        <v>147</v>
      </c>
      <c r="E6" s="3"/>
      <c r="F6" s="3" t="s">
        <v>408</v>
      </c>
      <c r="G6" s="3" t="s">
        <v>15</v>
      </c>
      <c r="H6" s="4" t="s">
        <v>16</v>
      </c>
      <c r="I6" s="3"/>
      <c r="J6" s="3" t="s">
        <v>270</v>
      </c>
      <c r="K6" s="3"/>
    </row>
    <row r="7" spans="1:11" x14ac:dyDescent="0.35">
      <c r="A7" s="2" t="s">
        <v>271</v>
      </c>
      <c r="B7" s="3" t="s">
        <v>12</v>
      </c>
      <c r="C7" s="3" t="s">
        <v>272</v>
      </c>
      <c r="D7" s="3" t="s">
        <v>273</v>
      </c>
      <c r="E7" s="3"/>
      <c r="F7" s="3" t="s">
        <v>408</v>
      </c>
      <c r="G7" s="3" t="s">
        <v>15</v>
      </c>
      <c r="H7" s="4" t="s">
        <v>16</v>
      </c>
      <c r="I7" s="3"/>
      <c r="J7" s="3"/>
      <c r="K7" s="3"/>
    </row>
    <row r="8" spans="1:11" x14ac:dyDescent="0.35">
      <c r="A8" s="2" t="s">
        <v>274</v>
      </c>
      <c r="B8" s="3" t="s">
        <v>275</v>
      </c>
      <c r="C8" s="3" t="s">
        <v>53</v>
      </c>
      <c r="D8" s="3" t="s">
        <v>52</v>
      </c>
      <c r="E8" s="3"/>
      <c r="F8" s="3" t="s">
        <v>408</v>
      </c>
      <c r="G8" s="3" t="s">
        <v>15</v>
      </c>
      <c r="H8" s="4" t="s">
        <v>16</v>
      </c>
      <c r="I8" s="3"/>
      <c r="J8" s="3"/>
      <c r="K8" s="3"/>
    </row>
    <row r="9" spans="1:11" x14ac:dyDescent="0.35">
      <c r="A9" s="2" t="s">
        <v>276</v>
      </c>
      <c r="B9" s="3" t="s">
        <v>18</v>
      </c>
      <c r="C9" s="3" t="s">
        <v>19</v>
      </c>
      <c r="D9" s="3" t="s">
        <v>277</v>
      </c>
      <c r="E9" s="3"/>
      <c r="F9" s="3" t="s">
        <v>412</v>
      </c>
      <c r="G9" s="3" t="s">
        <v>15</v>
      </c>
      <c r="H9" s="4" t="s">
        <v>16</v>
      </c>
      <c r="I9" s="3"/>
      <c r="J9" s="3"/>
      <c r="K9" s="3"/>
    </row>
    <row r="10" spans="1:11" x14ac:dyDescent="0.35">
      <c r="A10" s="2" t="s">
        <v>278</v>
      </c>
      <c r="B10" s="3" t="s">
        <v>279</v>
      </c>
      <c r="C10" s="3" t="s">
        <v>180</v>
      </c>
      <c r="D10" s="3" t="s">
        <v>180</v>
      </c>
      <c r="E10" s="3"/>
      <c r="F10" s="3" t="s">
        <v>408</v>
      </c>
      <c r="G10" s="3" t="s">
        <v>15</v>
      </c>
      <c r="H10" s="4" t="s">
        <v>16</v>
      </c>
      <c r="I10" s="3"/>
      <c r="J10" s="3"/>
      <c r="K10" s="3"/>
    </row>
    <row r="11" spans="1:11" x14ac:dyDescent="0.35">
      <c r="A11" s="2" t="s">
        <v>280</v>
      </c>
      <c r="B11" s="3" t="s">
        <v>279</v>
      </c>
      <c r="C11" s="3" t="s">
        <v>180</v>
      </c>
      <c r="D11" s="3" t="s">
        <v>180</v>
      </c>
      <c r="E11" s="3"/>
      <c r="F11" s="3" t="s">
        <v>408</v>
      </c>
      <c r="G11" s="3" t="s">
        <v>15</v>
      </c>
      <c r="H11" s="4" t="s">
        <v>16</v>
      </c>
      <c r="I11" s="3"/>
      <c r="J11" s="3"/>
      <c r="K11" s="3"/>
    </row>
    <row r="12" spans="1:11" x14ac:dyDescent="0.35">
      <c r="A12" s="2" t="s">
        <v>281</v>
      </c>
      <c r="B12" s="3" t="s">
        <v>279</v>
      </c>
      <c r="C12" s="3" t="s">
        <v>103</v>
      </c>
      <c r="D12" s="3" t="s">
        <v>104</v>
      </c>
      <c r="E12" s="3"/>
      <c r="F12" s="3" t="s">
        <v>408</v>
      </c>
      <c r="G12" s="3" t="s">
        <v>15</v>
      </c>
      <c r="H12" s="4" t="s">
        <v>16</v>
      </c>
      <c r="I12" s="3"/>
      <c r="J12" s="3"/>
      <c r="K12" s="3"/>
    </row>
    <row r="13" spans="1:11" x14ac:dyDescent="0.35">
      <c r="A13" s="2" t="s">
        <v>282</v>
      </c>
      <c r="B13" s="3" t="s">
        <v>279</v>
      </c>
      <c r="C13" s="3" t="s">
        <v>283</v>
      </c>
      <c r="D13" s="3" t="s">
        <v>284</v>
      </c>
      <c r="E13" s="3"/>
      <c r="F13" s="3" t="s">
        <v>408</v>
      </c>
      <c r="G13" s="3" t="s">
        <v>15</v>
      </c>
      <c r="H13" s="4" t="s">
        <v>16</v>
      </c>
      <c r="I13" s="3"/>
      <c r="J13" s="3"/>
      <c r="K13" s="3"/>
    </row>
    <row r="14" spans="1:11" x14ac:dyDescent="0.35">
      <c r="A14" s="2" t="s">
        <v>285</v>
      </c>
      <c r="B14" s="3" t="s">
        <v>279</v>
      </c>
      <c r="C14" s="3" t="s">
        <v>283</v>
      </c>
      <c r="D14" s="3" t="s">
        <v>286</v>
      </c>
      <c r="E14" s="3"/>
      <c r="F14" s="3" t="s">
        <v>408</v>
      </c>
      <c r="G14" s="3" t="s">
        <v>15</v>
      </c>
      <c r="H14" s="4" t="s">
        <v>16</v>
      </c>
      <c r="I14" s="3"/>
      <c r="J14" s="3" t="s">
        <v>287</v>
      </c>
      <c r="K14" s="3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>
      <selection sqref="A1:J1"/>
    </sheetView>
  </sheetViews>
  <sheetFormatPr defaultRowHeight="14.5" x14ac:dyDescent="0.35"/>
  <cols>
    <col min="1" max="1" width="30" customWidth="1"/>
    <col min="2" max="10" width="15" customWidth="1"/>
  </cols>
  <sheetData>
    <row r="1" spans="1:10" ht="21" x14ac:dyDescent="0.5">
      <c r="A1" s="49" t="s">
        <v>288</v>
      </c>
      <c r="B1" s="47"/>
      <c r="C1" s="47"/>
      <c r="D1" s="47"/>
      <c r="E1" s="47"/>
      <c r="F1" s="47"/>
      <c r="G1" s="47"/>
      <c r="H1" s="47"/>
      <c r="I1" s="47"/>
      <c r="J1" s="47"/>
    </row>
    <row r="4" spans="1:10" ht="29" x14ac:dyDescent="0.35">
      <c r="A4" s="1" t="s">
        <v>289</v>
      </c>
      <c r="B4" s="1" t="s">
        <v>290</v>
      </c>
      <c r="C4" s="1" t="s">
        <v>291</v>
      </c>
      <c r="D4" s="1" t="s">
        <v>292</v>
      </c>
      <c r="E4" s="1" t="s">
        <v>293</v>
      </c>
      <c r="F4" s="1" t="s">
        <v>294</v>
      </c>
      <c r="G4" s="1" t="s">
        <v>295</v>
      </c>
      <c r="H4" s="1" t="s">
        <v>296</v>
      </c>
      <c r="I4" s="1" t="s">
        <v>297</v>
      </c>
      <c r="J4" s="1" t="s">
        <v>7</v>
      </c>
    </row>
    <row r="5" spans="1:10" x14ac:dyDescent="0.35">
      <c r="A5" s="2" t="s">
        <v>298</v>
      </c>
      <c r="B5" s="3"/>
      <c r="C5" s="3" t="s">
        <v>299</v>
      </c>
      <c r="D5" s="3"/>
      <c r="E5" s="3"/>
      <c r="F5" s="3"/>
      <c r="G5" s="3"/>
      <c r="H5" s="3"/>
      <c r="I5" s="3"/>
      <c r="J5" s="3"/>
    </row>
    <row r="6" spans="1:10" x14ac:dyDescent="0.35">
      <c r="A6" s="2" t="s">
        <v>300</v>
      </c>
      <c r="B6" s="3"/>
      <c r="C6" s="3" t="s">
        <v>301</v>
      </c>
      <c r="D6" s="3"/>
      <c r="E6" s="3"/>
      <c r="F6" s="3"/>
      <c r="G6" s="3"/>
      <c r="H6" s="3"/>
      <c r="I6" s="3"/>
      <c r="J6" s="3"/>
    </row>
    <row r="7" spans="1:10" x14ac:dyDescent="0.35">
      <c r="A7" s="2" t="s">
        <v>302</v>
      </c>
      <c r="B7" s="3"/>
      <c r="C7" s="3" t="s">
        <v>303</v>
      </c>
      <c r="D7" s="3"/>
      <c r="E7" s="3"/>
      <c r="F7" s="3"/>
      <c r="G7" s="3"/>
      <c r="H7" s="3"/>
      <c r="I7" s="3"/>
      <c r="J7" s="3"/>
    </row>
    <row r="8" spans="1:10" x14ac:dyDescent="0.35">
      <c r="A8" s="2" t="s">
        <v>304</v>
      </c>
      <c r="B8" s="3"/>
      <c r="C8" s="3" t="s">
        <v>305</v>
      </c>
      <c r="D8" s="3"/>
      <c r="E8" s="3"/>
      <c r="F8" s="3"/>
      <c r="G8" s="3"/>
      <c r="H8" s="3"/>
      <c r="I8" s="3"/>
      <c r="J8" s="3"/>
    </row>
    <row r="9" spans="1:10" x14ac:dyDescent="0.35">
      <c r="A9" s="2" t="s">
        <v>306</v>
      </c>
      <c r="B9" s="3"/>
      <c r="C9" s="3" t="s">
        <v>307</v>
      </c>
      <c r="D9" s="3"/>
      <c r="E9" s="3"/>
      <c r="F9" s="3"/>
      <c r="G9" s="3"/>
      <c r="H9" s="3"/>
      <c r="I9" s="3"/>
      <c r="J9" s="3"/>
    </row>
    <row r="10" spans="1:10" x14ac:dyDescent="0.35">
      <c r="A10" s="2" t="s">
        <v>308</v>
      </c>
      <c r="B10" s="3"/>
      <c r="C10" s="3" t="s">
        <v>309</v>
      </c>
      <c r="D10" s="3"/>
      <c r="E10" s="3"/>
      <c r="F10" s="3"/>
      <c r="G10" s="3"/>
      <c r="H10" s="3"/>
      <c r="I10" s="3"/>
      <c r="J10" s="3"/>
    </row>
    <row r="11" spans="1:10" x14ac:dyDescent="0.35">
      <c r="A11" s="2" t="s">
        <v>310</v>
      </c>
      <c r="B11" s="3"/>
      <c r="C11" s="3" t="s">
        <v>311</v>
      </c>
      <c r="D11" s="3"/>
      <c r="E11" s="3"/>
      <c r="F11" s="3"/>
      <c r="G11" s="3"/>
      <c r="H11" s="3"/>
      <c r="I11" s="3"/>
      <c r="J11" s="3"/>
    </row>
    <row r="12" spans="1:10" x14ac:dyDescent="0.35">
      <c r="A12" s="2" t="s">
        <v>312</v>
      </c>
      <c r="B12" s="3"/>
      <c r="C12" s="3" t="s">
        <v>301</v>
      </c>
      <c r="D12" s="3"/>
      <c r="E12" s="3"/>
      <c r="F12" s="3"/>
      <c r="G12" s="3"/>
      <c r="H12" s="3"/>
      <c r="I12" s="3"/>
      <c r="J12" s="3"/>
    </row>
    <row r="13" spans="1:10" x14ac:dyDescent="0.35">
      <c r="A13" s="2" t="s">
        <v>313</v>
      </c>
      <c r="B13" s="3"/>
      <c r="C13" s="3" t="s">
        <v>314</v>
      </c>
      <c r="D13" s="3"/>
      <c r="E13" s="3"/>
      <c r="F13" s="3"/>
      <c r="G13" s="3"/>
      <c r="H13" s="3"/>
      <c r="I13" s="3"/>
      <c r="J13" s="3"/>
    </row>
    <row r="14" spans="1:10" x14ac:dyDescent="0.35">
      <c r="A14" s="2" t="s">
        <v>315</v>
      </c>
      <c r="B14" s="3"/>
      <c r="C14" s="3" t="s">
        <v>316</v>
      </c>
      <c r="D14" s="3"/>
      <c r="E14" s="3"/>
      <c r="F14" s="3"/>
      <c r="G14" s="3"/>
      <c r="H14" s="3"/>
      <c r="I14" s="3"/>
      <c r="J14" s="3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Iteration1_Evals</vt:lpstr>
      <vt:lpstr>Iteration2_Evals</vt:lpstr>
      <vt:lpstr>Iteration3_Evals</vt:lpstr>
      <vt:lpstr>other</vt:lpstr>
      <vt:lpstr>1_LLM_Metrics</vt:lpstr>
      <vt:lpstr>2_RAG_Metrics</vt:lpstr>
      <vt:lpstr>3_SQL_Metrics</vt:lpstr>
      <vt:lpstr>4_Application_Metrics</vt:lpstr>
      <vt:lpstr>5_Cost_Metrics</vt:lpstr>
      <vt:lpstr>6_User_Experience</vt:lpstr>
      <vt:lpstr>8_Optimization_Impact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 Rao</cp:lastModifiedBy>
  <dcterms:created xsi:type="dcterms:W3CDTF">2025-11-07T13:21:04Z</dcterms:created>
  <dcterms:modified xsi:type="dcterms:W3CDTF">2025-11-08T19:32:05Z</dcterms:modified>
</cp:coreProperties>
</file>