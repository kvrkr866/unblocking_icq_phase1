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roblem_first_ai\capstore16_code\unblocking_icq_phase1\"/>
    </mc:Choice>
  </mc:AlternateContent>
  <xr:revisionPtr revIDLastSave="0" documentId="13_ncr:1_{D7531775-5056-4CE1-B209-FBDB3079151E}" xr6:coauthVersionLast="47" xr6:coauthVersionMax="47" xr10:uidLastSave="{00000000-0000-0000-0000-000000000000}"/>
  <bookViews>
    <workbookView xWindow="-110" yWindow="-110" windowWidth="19420" windowHeight="11500" tabRatio="860" activeTab="1" xr2:uid="{00000000-000D-0000-FFFF-FFFF00000000}"/>
  </bookViews>
  <sheets>
    <sheet name="IterativeDesign" sheetId="3" r:id="rId1"/>
    <sheet name="Iteration1_Evals" sheetId="10" r:id="rId2"/>
    <sheet name="Iteration2_Evals" sheetId="11" r:id="rId3"/>
    <sheet name="Iteration3_Evals" sheetId="12" r:id="rId4"/>
    <sheet name="AgentResources" sheetId="6" r:id="rId5"/>
    <sheet name="EvaluationMetrics" sheetId="7" r:id="rId6"/>
    <sheet name="OperationalMetric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6" i="10" l="1"/>
  <c r="I25" i="10"/>
  <c r="I24" i="10"/>
  <c r="J24" i="10" s="1"/>
  <c r="I23" i="10"/>
  <c r="J23" i="10" s="1"/>
  <c r="I22" i="10"/>
  <c r="J22" i="10" s="1"/>
  <c r="I21" i="10"/>
  <c r="J21" i="10" s="1"/>
  <c r="I20" i="10"/>
  <c r="I19" i="10"/>
  <c r="J19" i="10" s="1"/>
  <c r="I18" i="10"/>
  <c r="J18" i="10" s="1"/>
  <c r="I17" i="10"/>
  <c r="J17" i="10" s="1"/>
  <c r="I16" i="10"/>
  <c r="J16" i="10" s="1"/>
  <c r="I15" i="10"/>
  <c r="J15" i="10" s="1"/>
  <c r="I14" i="10"/>
  <c r="J14" i="10" s="1"/>
  <c r="I13" i="10"/>
  <c r="J13" i="10" s="1"/>
  <c r="I12" i="10"/>
  <c r="J12" i="10" s="1"/>
  <c r="I11" i="10"/>
  <c r="J11" i="10" s="1"/>
  <c r="I10" i="10"/>
  <c r="J10" i="10" s="1"/>
  <c r="I9" i="10"/>
  <c r="J9" i="10" s="1"/>
  <c r="I8" i="10"/>
  <c r="J8" i="10" s="1"/>
  <c r="I7" i="10"/>
  <c r="J7" i="10" s="1"/>
  <c r="I6" i="10"/>
  <c r="J6" i="10" s="1"/>
  <c r="I5" i="10"/>
  <c r="J5" i="10" s="1"/>
  <c r="I4" i="10"/>
  <c r="J4" i="10" s="1"/>
  <c r="I3" i="10"/>
  <c r="J3" i="10" s="1"/>
  <c r="J26" i="10"/>
  <c r="J25" i="10"/>
  <c r="J20" i="10"/>
</calcChain>
</file>

<file path=xl/sharedStrings.xml><?xml version="1.0" encoding="utf-8"?>
<sst xmlns="http://schemas.openxmlformats.org/spreadsheetml/2006/main" count="166" uniqueCount="130">
  <si>
    <t>TBD</t>
  </si>
  <si>
    <t>Sl. No</t>
  </si>
  <si>
    <t>Iteration #</t>
  </si>
  <si>
    <t>Objective</t>
  </si>
  <si>
    <t>Usage paradigm
(Workflow, RAG, Agent, Multiagent)</t>
  </si>
  <si>
    <t>Architecture Diagram</t>
  </si>
  <si>
    <t>Sample Inputs</t>
  </si>
  <si>
    <t>Processing / intermediate steps</t>
  </si>
  <si>
    <t>Expected 
Output</t>
  </si>
  <si>
    <t>Additional components</t>
  </si>
  <si>
    <t>Tools usage</t>
  </si>
  <si>
    <t>Evaluation &amp; optimization</t>
  </si>
  <si>
    <t>Cost &amp; latency</t>
  </si>
  <si>
    <t>Business compliance &amp; consideration</t>
  </si>
  <si>
    <t>Poster design</t>
  </si>
  <si>
    <t>Planned to use</t>
  </si>
  <si>
    <t>Actual usage</t>
  </si>
  <si>
    <t>Yes</t>
  </si>
  <si>
    <t>No</t>
  </si>
  <si>
    <t>Agent Resources</t>
  </si>
  <si>
    <t>Short-Term Memory: Managing the Active Conversation - 
All Past Messages, Latest N Messages, Summarized History, Filtered Messages</t>
  </si>
  <si>
    <t>Long-Term Memory: Enabling Learning and Continuity - 
Semantic Memory
Episodic Memory
Procedural Memory
Storage</t>
  </si>
  <si>
    <t>Multi-Agent Collaboration Patterns</t>
  </si>
  <si>
    <t>Hierarchical Patterns (More Controllable, Less Dynamic): One Orchestrator:
Parallelization
Specialization
Tool Suite Experts</t>
  </si>
  <si>
    <t>Flat Patterns (More Dynamic, Less Controllable): All Communicate
Debate
Polling
Evaluation</t>
  </si>
  <si>
    <t>Hybrid Patterns</t>
  </si>
  <si>
    <t>Evaluation Metrics</t>
  </si>
  <si>
    <t>Metric range input</t>
  </si>
  <si>
    <t>Metric range expected output</t>
  </si>
  <si>
    <t>operational Metrics</t>
  </si>
  <si>
    <t xml:space="preserve"> Response Quality Metrics</t>
  </si>
  <si>
    <t>Exact Match: Word Matching</t>
  </si>
  <si>
    <t>Fuzzy Match: Contains/Regex/Levenshtein</t>
  </si>
  <si>
    <t>Fuzzy Match:BLEU/ROUGE</t>
  </si>
  <si>
    <t>Semantic Match:BERTScore</t>
  </si>
  <si>
    <t>LLM Judge: Any LLM (Prompted for Evaluation)</t>
  </si>
  <si>
    <t>. Retrieval Quality Metrics (RAG Evaluation)</t>
  </si>
  <si>
    <t xml:space="preserve"> Context Precision</t>
  </si>
  <si>
    <t>Context Recall</t>
  </si>
  <si>
    <t>Context Relevancy</t>
  </si>
  <si>
    <t>Context Entities Recall</t>
  </si>
  <si>
    <t>Generation Quality Metrics (RAG Evaluation)</t>
  </si>
  <si>
    <t>Hallucination Score (LLM Judge)</t>
  </si>
  <si>
    <t>Answer Relevance (LLM Judge)</t>
  </si>
  <si>
    <t>Answer Correctness (LLM Judge)</t>
  </si>
  <si>
    <t>Agentic Metrics (Evaluating AI Agents &amp; Automation Workflows)</t>
  </si>
  <si>
    <t>Routing in Agents</t>
  </si>
  <si>
    <t>Task Success Rate (Could be exact match, semantic match, fuzzy match or LLM judge)</t>
  </si>
  <si>
    <t>Operational Metrics for AI Systems: Measuring Time &amp; Cost Efficiency</t>
  </si>
  <si>
    <t>Prompt Workflows</t>
  </si>
  <si>
    <t>Token Usage:</t>
  </si>
  <si>
    <t>LLM API Calls</t>
  </si>
  <si>
    <t>Tool Invocation Time</t>
  </si>
  <si>
    <t>Retrieval-Augmented Generation (RAG) Systems:</t>
  </si>
  <si>
    <t>Retrieval API Call Latency</t>
  </si>
  <si>
    <t>Query Processing Time</t>
  </si>
  <si>
    <t>Compute Overhead</t>
  </si>
  <si>
    <t>AI Agents:</t>
  </si>
  <si>
    <t>Average LLM Calls to Complete Task</t>
  </si>
  <si>
    <t>Total Execution Time</t>
  </si>
  <si>
    <t>Fine-Tuning &amp; Model Training</t>
  </si>
  <si>
    <t>Fine-Tuning Time</t>
  </si>
  <si>
    <t>Data Curation Effort</t>
  </si>
  <si>
    <t>Compute Resources Needed</t>
  </si>
  <si>
    <t>Checkpoint &amp; Iteration Overhead</t>
  </si>
  <si>
    <t>SQL query generation</t>
  </si>
  <si>
    <t>Component/ Module</t>
  </si>
  <si>
    <t>Measurement</t>
  </si>
  <si>
    <t>Metric</t>
  </si>
  <si>
    <t>Syntax Correctness</t>
  </si>
  <si>
    <t>Query Accuracy</t>
  </si>
  <si>
    <t>Query Efficiency</t>
  </si>
  <si>
    <t>Edge Cases</t>
  </si>
  <si>
    <t>Precision/Recall on retrieved data</t>
  </si>
  <si>
    <t>Query execution time</t>
  </si>
  <si>
    <t>False positive rate (returns wrong data)</t>
  </si>
  <si>
    <t>LLM Prompt Effectiveness</t>
  </si>
  <si>
    <t>Prompt Reliability</t>
  </si>
  <si>
    <t>Instruction Following</t>
  </si>
  <si>
    <t>Output Format</t>
  </si>
  <si>
    <t>Hallucination Rate</t>
  </si>
  <si>
    <t>Consistency score (same question → same SQL structure)</t>
  </si>
  <si>
    <t>Schema adherence rate</t>
  </si>
  <si>
    <t>Format compliance (no markdown, no extra text)</t>
  </si>
  <si>
    <t>Hallucination detection (non-existent columns/tables)</t>
  </si>
  <si>
    <t>Response Synthesis Quality</t>
  </si>
  <si>
    <t>Answer Relevance</t>
  </si>
  <si>
    <t>Accuracy</t>
  </si>
  <si>
    <t>Completeness</t>
  </si>
  <si>
    <t>Clarity</t>
  </si>
  <si>
    <t>Semantic similarity to expected answer</t>
  </si>
  <si>
    <t>Factual accuracy (all numbers match DB)</t>
  </si>
  <si>
    <t>Answer completeness score</t>
  </si>
  <si>
    <t>Readability score</t>
  </si>
  <si>
    <t>End-to-End Pipeline Performance</t>
  </si>
  <si>
    <t>Latency: Total time from question to answer</t>
  </si>
  <si>
    <t>Success Rate: % of queries that complete successfully</t>
  </si>
  <si>
    <t>Error Recovery: How gracefully it handles failures</t>
  </si>
  <si>
    <t>P50, P95, P99</t>
  </si>
  <si>
    <t>Overall success rate</t>
  </si>
  <si>
    <t>Retry success rate</t>
  </si>
  <si>
    <t>LLM-Specific Metrics</t>
  </si>
  <si>
    <t>Token Usage</t>
  </si>
  <si>
    <t>Response Quality</t>
  </si>
  <si>
    <t>Reasoning Effort</t>
  </si>
  <si>
    <t>Tokens per query (input + output)</t>
  </si>
  <si>
    <t>Cost per query</t>
  </si>
  <si>
    <t>Accuracy by model</t>
  </si>
  <si>
    <t>Quality vs speed tradeoff</t>
  </si>
  <si>
    <t>Human Eval rubric</t>
  </si>
  <si>
    <t>Clarity ( 1 to 5)</t>
  </si>
  <si>
    <t>Accuracy ( 1 to 5)</t>
  </si>
  <si>
    <t>Relevance ( 1 to 5)</t>
  </si>
  <si>
    <t xml:space="preserve">Expected  </t>
  </si>
  <si>
    <t>Iteration #1: Evals and metrics</t>
  </si>
  <si>
    <t>% achieved on expected</t>
  </si>
  <si>
    <t>To be able to get the diagnostic events of the site.</t>
  </si>
  <si>
    <t>natural language</t>
  </si>
  <si>
    <t>sqlite3</t>
  </si>
  <si>
    <t>N.A</t>
  </si>
  <si>
    <t>Response time</t>
  </si>
  <si>
    <t>Response time in sec</t>
  </si>
  <si>
    <t>Execution Success Rate 
(% queries that run without errors)</t>
  </si>
  <si>
    <t>Actual / 
Measured
Trial - 1</t>
  </si>
  <si>
    <t>Actual / 
Measured
Trial - 2</t>
  </si>
  <si>
    <t>Actual / 
Measured
Trial - 3</t>
  </si>
  <si>
    <t>Avg of trial 1, 2 &amp; 3</t>
  </si>
  <si>
    <t>*</t>
  </si>
  <si>
    <t>Observed &gt;P50</t>
  </si>
  <si>
    <t>LLM-Specific Metrics (gpt-5-mini)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</si>
</sst>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b/>
      <sz val="14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8" xfId="0" applyBorder="1" applyAlignment="1">
      <alignment wrapText="1"/>
    </xf>
    <xf numFmtId="0" fontId="0" fillId="0" borderId="9" xfId="0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0" fillId="0" borderId="5" xfId="0" applyBorder="1"/>
    <xf numFmtId="0" fontId="0" fillId="0" borderId="8" xfId="0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0" fillId="3" borderId="6" xfId="0" applyFill="1" applyBorder="1"/>
    <xf numFmtId="0" fontId="1" fillId="2" borderId="10" xfId="0" applyFont="1" applyFill="1" applyBorder="1"/>
    <xf numFmtId="0" fontId="0" fillId="0" borderId="11" xfId="0" applyBorder="1"/>
    <xf numFmtId="0" fontId="0" fillId="0" borderId="12" xfId="0" applyBorder="1"/>
    <xf numFmtId="0" fontId="0" fillId="3" borderId="11" xfId="0" applyFill="1" applyBorder="1"/>
    <xf numFmtId="0" fontId="1" fillId="0" borderId="13" xfId="0" applyFont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4" fillId="0" borderId="0" xfId="0" applyFont="1" applyAlignment="1">
      <alignment horizontal="center"/>
    </xf>
    <xf numFmtId="0" fontId="3" fillId="2" borderId="2" xfId="0" applyFont="1" applyFill="1" applyBorder="1" applyAlignment="1">
      <alignment wrapText="1"/>
    </xf>
    <xf numFmtId="0" fontId="2" fillId="0" borderId="6" xfId="0" applyFont="1" applyBorder="1"/>
    <xf numFmtId="0" fontId="2" fillId="4" borderId="4" xfId="0" applyFont="1" applyFill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4" borderId="6" xfId="0" applyFont="1" applyFill="1" applyBorder="1"/>
    <xf numFmtId="0" fontId="2" fillId="4" borderId="7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2" fillId="4" borderId="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4FD6-042F-444D-83C5-32E7D0E7C9EF}">
  <dimension ref="B4:N16"/>
  <sheetViews>
    <sheetView workbookViewId="0">
      <selection activeCell="E7" sqref="E7"/>
    </sheetView>
  </sheetViews>
  <sheetFormatPr defaultRowHeight="14.5" x14ac:dyDescent="0.35"/>
  <cols>
    <col min="1" max="1" width="4.90625" customWidth="1"/>
    <col min="2" max="2" width="9.7265625" customWidth="1"/>
    <col min="3" max="3" width="31.453125" customWidth="1"/>
    <col min="4" max="4" width="17.90625" customWidth="1"/>
    <col min="5" max="5" width="11.36328125" customWidth="1"/>
    <col min="6" max="6" width="12.54296875" customWidth="1"/>
    <col min="7" max="7" width="12.36328125" customWidth="1"/>
    <col min="9" max="9" width="11.7265625" customWidth="1"/>
    <col min="11" max="11" width="9.90625" customWidth="1"/>
  </cols>
  <sheetData>
    <row r="4" spans="2:14" ht="15" thickBot="1" x14ac:dyDescent="0.4"/>
    <row r="5" spans="2:14" ht="73" thickTop="1" x14ac:dyDescent="0.35">
      <c r="B5" s="14" t="s">
        <v>2</v>
      </c>
      <c r="C5" s="15" t="s">
        <v>3</v>
      </c>
      <c r="D5" s="15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  <c r="J5" s="15" t="s">
        <v>10</v>
      </c>
      <c r="K5" s="15" t="s">
        <v>11</v>
      </c>
      <c r="L5" s="15" t="s">
        <v>12</v>
      </c>
      <c r="M5" s="15" t="s">
        <v>13</v>
      </c>
      <c r="N5" s="10" t="s">
        <v>14</v>
      </c>
    </row>
    <row r="6" spans="2:14" ht="29" x14ac:dyDescent="0.35">
      <c r="B6" s="12">
        <v>1</v>
      </c>
      <c r="C6" s="2" t="s">
        <v>116</v>
      </c>
      <c r="D6" s="2" t="s">
        <v>17</v>
      </c>
      <c r="E6" s="2" t="s">
        <v>17</v>
      </c>
      <c r="F6" s="2" t="s">
        <v>117</v>
      </c>
      <c r="G6" s="2"/>
      <c r="H6" s="2"/>
      <c r="I6" s="2" t="s">
        <v>118</v>
      </c>
      <c r="J6" s="2" t="s">
        <v>119</v>
      </c>
      <c r="K6" s="2"/>
      <c r="L6" s="2"/>
      <c r="M6" s="2"/>
      <c r="N6" s="4"/>
    </row>
    <row r="7" spans="2:14" x14ac:dyDescent="0.35">
      <c r="B7" s="1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4"/>
    </row>
    <row r="8" spans="2:14" x14ac:dyDescent="0.35">
      <c r="B8" s="1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4"/>
    </row>
    <row r="9" spans="2:14" x14ac:dyDescent="0.35">
      <c r="B9" s="1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4"/>
    </row>
    <row r="10" spans="2:14" x14ac:dyDescent="0.35">
      <c r="B10" s="12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4"/>
    </row>
    <row r="11" spans="2:14" x14ac:dyDescent="0.35">
      <c r="B11" s="1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4"/>
    </row>
    <row r="12" spans="2:14" x14ac:dyDescent="0.35">
      <c r="B12" s="1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4"/>
    </row>
    <row r="13" spans="2:14" x14ac:dyDescent="0.35">
      <c r="B13" s="12">
        <v>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4"/>
    </row>
    <row r="14" spans="2:14" x14ac:dyDescent="0.35">
      <c r="B14" s="1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4"/>
    </row>
    <row r="15" spans="2:14" ht="15" thickBot="1" x14ac:dyDescent="0.4">
      <c r="B15" s="1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1"/>
    </row>
    <row r="16" spans="2:14" ht="15" thickTop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ECA-A15D-4D04-8398-6D8C47DD0F71}">
  <dimension ref="A1:K27"/>
  <sheetViews>
    <sheetView tabSelected="1" workbookViewId="0">
      <pane ySplit="2" topLeftCell="A3" activePane="bottomLeft" state="frozen"/>
      <selection pane="bottomLeft" activeCell="E11" sqref="E11"/>
    </sheetView>
  </sheetViews>
  <sheetFormatPr defaultRowHeight="14.5" x14ac:dyDescent="0.35"/>
  <cols>
    <col min="2" max="2" width="27" customWidth="1"/>
    <col min="3" max="3" width="26" customWidth="1"/>
    <col min="4" max="4" width="33.54296875" customWidth="1"/>
    <col min="5" max="5" width="10.36328125" customWidth="1"/>
    <col min="6" max="6" width="10" customWidth="1"/>
    <col min="7" max="9" width="10.08984375" customWidth="1"/>
    <col min="10" max="10" width="14" customWidth="1"/>
  </cols>
  <sheetData>
    <row r="1" spans="1:10" ht="18" thickBot="1" x14ac:dyDescent="0.4">
      <c r="B1" s="33" t="s">
        <v>114</v>
      </c>
      <c r="C1" s="33"/>
      <c r="D1" s="33"/>
      <c r="E1" s="33"/>
      <c r="F1" s="33"/>
      <c r="G1" s="33"/>
      <c r="H1" s="33"/>
      <c r="I1" s="33"/>
      <c r="J1" s="33"/>
    </row>
    <row r="2" spans="1:10" ht="36" thickTop="1" x14ac:dyDescent="0.35">
      <c r="B2" s="28" t="s">
        <v>66</v>
      </c>
      <c r="C2" s="29" t="s">
        <v>67</v>
      </c>
      <c r="D2" s="29" t="s">
        <v>68</v>
      </c>
      <c r="E2" s="34" t="s">
        <v>113</v>
      </c>
      <c r="F2" s="34" t="s">
        <v>123</v>
      </c>
      <c r="G2" s="34" t="s">
        <v>124</v>
      </c>
      <c r="H2" s="34" t="s">
        <v>125</v>
      </c>
      <c r="I2" s="34" t="s">
        <v>126</v>
      </c>
      <c r="J2" s="30" t="s">
        <v>115</v>
      </c>
    </row>
    <row r="3" spans="1:10" ht="24" x14ac:dyDescent="0.35">
      <c r="A3" t="s">
        <v>127</v>
      </c>
      <c r="B3" s="31" t="s">
        <v>65</v>
      </c>
      <c r="C3" s="32" t="s">
        <v>69</v>
      </c>
      <c r="D3" s="32" t="s">
        <v>122</v>
      </c>
      <c r="E3" s="32">
        <v>100</v>
      </c>
      <c r="F3" s="32">
        <v>100</v>
      </c>
      <c r="G3" s="32">
        <v>100</v>
      </c>
      <c r="H3" s="32">
        <v>100</v>
      </c>
      <c r="I3" s="32">
        <f>AVERAGE(F3:H3)</f>
        <v>100</v>
      </c>
      <c r="J3" s="35">
        <f>(I3*100)/E3</f>
        <v>100</v>
      </c>
    </row>
    <row r="4" spans="1:10" x14ac:dyDescent="0.35">
      <c r="B4" s="31" t="s">
        <v>65</v>
      </c>
      <c r="C4" s="32" t="s">
        <v>70</v>
      </c>
      <c r="D4" s="32" t="s">
        <v>73</v>
      </c>
      <c r="E4" s="32">
        <v>100</v>
      </c>
      <c r="F4" s="32">
        <v>100</v>
      </c>
      <c r="G4" s="32">
        <v>100</v>
      </c>
      <c r="H4" s="32">
        <v>100</v>
      </c>
      <c r="I4" s="32">
        <f t="shared" ref="I4:I26" si="0">AVERAGE(F4:H4)</f>
        <v>100</v>
      </c>
      <c r="J4" s="35">
        <f t="shared" ref="J4:J26" si="1">(I4*100)/E4</f>
        <v>100</v>
      </c>
    </row>
    <row r="5" spans="1:10" x14ac:dyDescent="0.35">
      <c r="B5" s="31" t="s">
        <v>65</v>
      </c>
      <c r="C5" s="32" t="s">
        <v>71</v>
      </c>
      <c r="D5" s="32" t="s">
        <v>74</v>
      </c>
      <c r="E5" s="32">
        <v>0.01</v>
      </c>
      <c r="F5" s="32">
        <v>5.0000000000000001E-3</v>
      </c>
      <c r="G5" s="32">
        <v>4.0000000000000001E-3</v>
      </c>
      <c r="H5" s="32">
        <v>7.0000000000000001E-3</v>
      </c>
      <c r="I5" s="32">
        <f t="shared" si="0"/>
        <v>5.3333333333333332E-3</v>
      </c>
      <c r="J5" s="35">
        <f t="shared" si="1"/>
        <v>53.333333333333329</v>
      </c>
    </row>
    <row r="6" spans="1:10" ht="24" x14ac:dyDescent="0.35">
      <c r="B6" s="31" t="s">
        <v>65</v>
      </c>
      <c r="C6" s="32" t="s">
        <v>72</v>
      </c>
      <c r="D6" s="32" t="s">
        <v>75</v>
      </c>
      <c r="E6" s="32">
        <v>100</v>
      </c>
      <c r="F6" s="32">
        <v>0</v>
      </c>
      <c r="G6" s="32">
        <v>50</v>
      </c>
      <c r="H6" s="32">
        <v>100</v>
      </c>
      <c r="I6" s="32">
        <f t="shared" si="0"/>
        <v>50</v>
      </c>
      <c r="J6" s="35">
        <f t="shared" si="1"/>
        <v>50</v>
      </c>
    </row>
    <row r="7" spans="1:10" ht="24" x14ac:dyDescent="0.35">
      <c r="B7" s="31" t="s">
        <v>76</v>
      </c>
      <c r="C7" s="32" t="s">
        <v>77</v>
      </c>
      <c r="D7" s="32" t="s">
        <v>81</v>
      </c>
      <c r="E7" s="32">
        <v>100</v>
      </c>
      <c r="F7" s="32">
        <v>100</v>
      </c>
      <c r="G7" s="32">
        <v>100</v>
      </c>
      <c r="H7" s="32">
        <v>100</v>
      </c>
      <c r="I7" s="32">
        <f t="shared" si="0"/>
        <v>100</v>
      </c>
      <c r="J7" s="35">
        <f t="shared" si="1"/>
        <v>100</v>
      </c>
    </row>
    <row r="8" spans="1:10" x14ac:dyDescent="0.35">
      <c r="B8" s="31" t="s">
        <v>76</v>
      </c>
      <c r="C8" s="32" t="s">
        <v>78</v>
      </c>
      <c r="D8" s="32" t="s">
        <v>82</v>
      </c>
      <c r="E8" s="32">
        <v>100</v>
      </c>
      <c r="F8" s="32">
        <v>100</v>
      </c>
      <c r="G8" s="32">
        <v>100</v>
      </c>
      <c r="H8" s="32">
        <v>50</v>
      </c>
      <c r="I8" s="32">
        <f t="shared" si="0"/>
        <v>83.333333333333329</v>
      </c>
      <c r="J8" s="35">
        <f t="shared" si="1"/>
        <v>83.333333333333314</v>
      </c>
    </row>
    <row r="9" spans="1:10" ht="24" x14ac:dyDescent="0.35">
      <c r="B9" s="31" t="s">
        <v>76</v>
      </c>
      <c r="C9" s="32" t="s">
        <v>79</v>
      </c>
      <c r="D9" s="32" t="s">
        <v>83</v>
      </c>
      <c r="E9" s="32">
        <v>100</v>
      </c>
      <c r="F9" s="32">
        <v>100</v>
      </c>
      <c r="G9" s="32">
        <v>100</v>
      </c>
      <c r="H9" s="32">
        <v>100</v>
      </c>
      <c r="I9" s="32">
        <f t="shared" si="0"/>
        <v>100</v>
      </c>
      <c r="J9" s="35">
        <f t="shared" si="1"/>
        <v>100</v>
      </c>
    </row>
    <row r="10" spans="1:10" ht="24" x14ac:dyDescent="0.35">
      <c r="B10" s="31" t="s">
        <v>76</v>
      </c>
      <c r="C10" s="32" t="s">
        <v>80</v>
      </c>
      <c r="D10" s="32" t="s">
        <v>84</v>
      </c>
      <c r="E10" s="32">
        <v>100</v>
      </c>
      <c r="F10" s="32">
        <v>100</v>
      </c>
      <c r="G10" s="32">
        <v>100</v>
      </c>
      <c r="H10" s="32">
        <v>100</v>
      </c>
      <c r="I10" s="32">
        <f t="shared" si="0"/>
        <v>100</v>
      </c>
      <c r="J10" s="35">
        <f t="shared" si="1"/>
        <v>100</v>
      </c>
    </row>
    <row r="11" spans="1:10" ht="24" x14ac:dyDescent="0.35">
      <c r="B11" s="36" t="s">
        <v>85</v>
      </c>
      <c r="C11" s="37" t="s">
        <v>86</v>
      </c>
      <c r="D11" s="37" t="s">
        <v>90</v>
      </c>
      <c r="E11" s="37"/>
      <c r="F11" s="37"/>
      <c r="G11" s="37"/>
      <c r="H11" s="37"/>
      <c r="I11" s="37" t="e">
        <f t="shared" si="0"/>
        <v>#DIV/0!</v>
      </c>
      <c r="J11" s="38" t="e">
        <f t="shared" si="1"/>
        <v>#DIV/0!</v>
      </c>
    </row>
    <row r="12" spans="1:10" ht="24" x14ac:dyDescent="0.35">
      <c r="B12" s="31" t="s">
        <v>85</v>
      </c>
      <c r="C12" s="32" t="s">
        <v>87</v>
      </c>
      <c r="D12" s="32" t="s">
        <v>91</v>
      </c>
      <c r="E12" s="32">
        <v>100</v>
      </c>
      <c r="F12" s="32">
        <v>100</v>
      </c>
      <c r="G12" s="32">
        <v>100</v>
      </c>
      <c r="H12" s="32">
        <v>100</v>
      </c>
      <c r="I12" s="32">
        <f t="shared" si="0"/>
        <v>100</v>
      </c>
      <c r="J12" s="35">
        <f t="shared" si="1"/>
        <v>100</v>
      </c>
    </row>
    <row r="13" spans="1:10" x14ac:dyDescent="0.35">
      <c r="B13" s="31" t="s">
        <v>85</v>
      </c>
      <c r="C13" s="32" t="s">
        <v>88</v>
      </c>
      <c r="D13" s="32" t="s">
        <v>92</v>
      </c>
      <c r="E13" s="32">
        <v>100</v>
      </c>
      <c r="F13" s="32">
        <v>100</v>
      </c>
      <c r="G13" s="32">
        <v>100</v>
      </c>
      <c r="H13" s="32">
        <v>100</v>
      </c>
      <c r="I13" s="32">
        <f t="shared" si="0"/>
        <v>100</v>
      </c>
      <c r="J13" s="35">
        <f t="shared" si="1"/>
        <v>100</v>
      </c>
    </row>
    <row r="14" spans="1:10" x14ac:dyDescent="0.35">
      <c r="B14" s="31" t="s">
        <v>85</v>
      </c>
      <c r="C14" s="32" t="s">
        <v>89</v>
      </c>
      <c r="D14" s="32" t="s">
        <v>93</v>
      </c>
      <c r="E14" s="32">
        <v>100</v>
      </c>
      <c r="F14" s="32">
        <v>100</v>
      </c>
      <c r="G14" s="32">
        <v>100</v>
      </c>
      <c r="H14" s="32">
        <v>100</v>
      </c>
      <c r="I14" s="32">
        <f t="shared" si="0"/>
        <v>100</v>
      </c>
      <c r="J14" s="35">
        <f t="shared" si="1"/>
        <v>100</v>
      </c>
    </row>
    <row r="15" spans="1:10" x14ac:dyDescent="0.35">
      <c r="B15" s="31" t="s">
        <v>85</v>
      </c>
      <c r="C15" s="32" t="s">
        <v>109</v>
      </c>
      <c r="D15" s="32" t="s">
        <v>112</v>
      </c>
      <c r="E15" s="32">
        <v>5</v>
      </c>
      <c r="F15" s="32">
        <v>5</v>
      </c>
      <c r="G15" s="32">
        <v>5</v>
      </c>
      <c r="H15" s="32">
        <v>5</v>
      </c>
      <c r="I15" s="32">
        <f t="shared" si="0"/>
        <v>5</v>
      </c>
      <c r="J15" s="35">
        <f t="shared" si="1"/>
        <v>100</v>
      </c>
    </row>
    <row r="16" spans="1:10" x14ac:dyDescent="0.35">
      <c r="B16" s="31" t="s">
        <v>85</v>
      </c>
      <c r="C16" s="32" t="s">
        <v>109</v>
      </c>
      <c r="D16" s="32" t="s">
        <v>111</v>
      </c>
      <c r="E16" s="32">
        <v>5</v>
      </c>
      <c r="F16" s="32">
        <v>5</v>
      </c>
      <c r="G16" s="32">
        <v>5</v>
      </c>
      <c r="H16" s="32">
        <v>0</v>
      </c>
      <c r="I16" s="32">
        <f t="shared" si="0"/>
        <v>3.3333333333333335</v>
      </c>
      <c r="J16" s="35">
        <f t="shared" si="1"/>
        <v>66.666666666666671</v>
      </c>
    </row>
    <row r="17" spans="1:11" x14ac:dyDescent="0.35">
      <c r="B17" s="31" t="s">
        <v>85</v>
      </c>
      <c r="C17" s="32" t="s">
        <v>109</v>
      </c>
      <c r="D17" s="32" t="s">
        <v>110</v>
      </c>
      <c r="E17" s="32">
        <v>5</v>
      </c>
      <c r="F17" s="32">
        <v>5</v>
      </c>
      <c r="G17" s="32">
        <v>5</v>
      </c>
      <c r="H17" s="32">
        <v>5</v>
      </c>
      <c r="I17" s="32">
        <f t="shared" si="0"/>
        <v>5</v>
      </c>
      <c r="J17" s="35">
        <f t="shared" si="1"/>
        <v>100</v>
      </c>
    </row>
    <row r="18" spans="1:11" ht="24" x14ac:dyDescent="0.35">
      <c r="B18" s="31" t="s">
        <v>94</v>
      </c>
      <c r="C18" s="32" t="s">
        <v>95</v>
      </c>
      <c r="D18" s="32" t="s">
        <v>98</v>
      </c>
      <c r="E18" s="32">
        <v>10</v>
      </c>
      <c r="F18" s="32">
        <v>9.0399999999999991</v>
      </c>
      <c r="G18" s="32">
        <v>9.35</v>
      </c>
      <c r="H18" s="32">
        <v>7.88</v>
      </c>
      <c r="I18" s="32">
        <f t="shared" si="0"/>
        <v>8.7566666666666659</v>
      </c>
      <c r="J18" s="35">
        <f t="shared" si="1"/>
        <v>87.566666666666663</v>
      </c>
      <c r="K18" t="s">
        <v>128</v>
      </c>
    </row>
    <row r="19" spans="1:11" ht="24" x14ac:dyDescent="0.35">
      <c r="B19" s="31" t="s">
        <v>94</v>
      </c>
      <c r="C19" s="32" t="s">
        <v>96</v>
      </c>
      <c r="D19" s="32" t="s">
        <v>99</v>
      </c>
      <c r="E19" s="32">
        <v>100</v>
      </c>
      <c r="F19" s="32">
        <v>100</v>
      </c>
      <c r="G19" s="32">
        <v>100</v>
      </c>
      <c r="H19" s="32">
        <v>100</v>
      </c>
      <c r="I19" s="32">
        <f t="shared" si="0"/>
        <v>100</v>
      </c>
      <c r="J19" s="35">
        <f t="shared" si="1"/>
        <v>100</v>
      </c>
    </row>
    <row r="20" spans="1:11" ht="24" x14ac:dyDescent="0.35">
      <c r="B20" s="36" t="s">
        <v>94</v>
      </c>
      <c r="C20" s="37" t="s">
        <v>97</v>
      </c>
      <c r="D20" s="37" t="s">
        <v>100</v>
      </c>
      <c r="E20" s="37"/>
      <c r="F20" s="37"/>
      <c r="G20" s="37"/>
      <c r="H20" s="37"/>
      <c r="I20" s="37" t="e">
        <f t="shared" si="0"/>
        <v>#DIV/0!</v>
      </c>
      <c r="J20" s="38" t="e">
        <f t="shared" si="1"/>
        <v>#DIV/0!</v>
      </c>
    </row>
    <row r="21" spans="1:11" ht="24" x14ac:dyDescent="0.35">
      <c r="A21" t="s">
        <v>127</v>
      </c>
      <c r="B21" s="31" t="s">
        <v>129</v>
      </c>
      <c r="C21" s="32" t="s">
        <v>102</v>
      </c>
      <c r="D21" s="32" t="s">
        <v>105</v>
      </c>
      <c r="E21" s="32">
        <v>1000</v>
      </c>
      <c r="F21" s="32">
        <v>691</v>
      </c>
      <c r="G21" s="32">
        <v>972</v>
      </c>
      <c r="H21" s="32">
        <v>493</v>
      </c>
      <c r="I21" s="32">
        <f t="shared" si="0"/>
        <v>718.66666666666663</v>
      </c>
      <c r="J21" s="35">
        <f t="shared" si="1"/>
        <v>71.86666666666666</v>
      </c>
    </row>
    <row r="22" spans="1:11" x14ac:dyDescent="0.35">
      <c r="A22" t="s">
        <v>127</v>
      </c>
      <c r="B22" s="31" t="s">
        <v>101</v>
      </c>
      <c r="C22" s="32" t="s">
        <v>102</v>
      </c>
      <c r="D22" s="32" t="s">
        <v>106</v>
      </c>
      <c r="E22" s="32">
        <v>1E-3</v>
      </c>
      <c r="F22" s="32">
        <v>1E-3</v>
      </c>
      <c r="G22" s="32">
        <v>1E-3</v>
      </c>
      <c r="H22" s="32">
        <v>1E-3</v>
      </c>
      <c r="I22" s="32">
        <f t="shared" si="0"/>
        <v>1E-3</v>
      </c>
      <c r="J22" s="35">
        <f t="shared" si="1"/>
        <v>100</v>
      </c>
    </row>
    <row r="23" spans="1:11" x14ac:dyDescent="0.35">
      <c r="B23" s="31" t="s">
        <v>101</v>
      </c>
      <c r="C23" s="32" t="s">
        <v>103</v>
      </c>
      <c r="D23" s="32" t="s">
        <v>107</v>
      </c>
      <c r="E23" s="32">
        <v>100</v>
      </c>
      <c r="F23" s="32">
        <v>100</v>
      </c>
      <c r="G23" s="32">
        <v>100</v>
      </c>
      <c r="H23" s="32">
        <v>100</v>
      </c>
      <c r="I23" s="32">
        <f t="shared" si="0"/>
        <v>100</v>
      </c>
      <c r="J23" s="35">
        <f t="shared" si="1"/>
        <v>100</v>
      </c>
    </row>
    <row r="24" spans="1:11" x14ac:dyDescent="0.35">
      <c r="B24" s="31" t="s">
        <v>101</v>
      </c>
      <c r="C24" s="32" t="s">
        <v>120</v>
      </c>
      <c r="D24" s="32" t="s">
        <v>121</v>
      </c>
      <c r="E24" s="32">
        <v>20</v>
      </c>
      <c r="F24" s="32">
        <v>9</v>
      </c>
      <c r="G24" s="32">
        <v>9.3000000000000007</v>
      </c>
      <c r="H24" s="32">
        <v>6.1</v>
      </c>
      <c r="I24" s="32">
        <f t="shared" si="0"/>
        <v>8.1333333333333329</v>
      </c>
      <c r="J24" s="35">
        <f t="shared" si="1"/>
        <v>40.666666666666664</v>
      </c>
    </row>
    <row r="25" spans="1:11" x14ac:dyDescent="0.35">
      <c r="B25" s="36" t="s">
        <v>101</v>
      </c>
      <c r="C25" s="37" t="s">
        <v>103</v>
      </c>
      <c r="D25" s="37" t="s">
        <v>108</v>
      </c>
      <c r="E25" s="37"/>
      <c r="F25" s="37"/>
      <c r="G25" s="37"/>
      <c r="H25" s="37"/>
      <c r="I25" s="37" t="e">
        <f t="shared" si="0"/>
        <v>#DIV/0!</v>
      </c>
      <c r="J25" s="38" t="e">
        <f t="shared" si="1"/>
        <v>#DIV/0!</v>
      </c>
    </row>
    <row r="26" spans="1:11" ht="15" thickBot="1" x14ac:dyDescent="0.4">
      <c r="B26" s="39" t="s">
        <v>101</v>
      </c>
      <c r="C26" s="40" t="s">
        <v>104</v>
      </c>
      <c r="D26" s="40"/>
      <c r="E26" s="40"/>
      <c r="F26" s="40"/>
      <c r="G26" s="40"/>
      <c r="H26" s="40"/>
      <c r="I26" s="37" t="e">
        <f t="shared" si="0"/>
        <v>#DIV/0!</v>
      </c>
      <c r="J26" s="41" t="e">
        <f t="shared" si="1"/>
        <v>#DIV/0!</v>
      </c>
    </row>
    <row r="27" spans="1:11" ht="15" thickTop="1" x14ac:dyDescent="0.35"/>
  </sheetData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20231-225F-46AD-A21B-6B0A933A566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0C77-B060-409F-AA3F-8039C5C1876B}">
  <dimension ref="A1"/>
  <sheetViews>
    <sheetView workbookViewId="0">
      <selection activeCell="G11" sqref="G11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4B1-833E-43F7-A434-8A81D939D3F1}">
  <dimension ref="B2:E12"/>
  <sheetViews>
    <sheetView topLeftCell="A3" workbookViewId="0">
      <selection activeCell="D8" sqref="D8"/>
    </sheetView>
  </sheetViews>
  <sheetFormatPr defaultRowHeight="14.5" x14ac:dyDescent="0.35"/>
  <cols>
    <col min="3" max="3" width="42.6328125" customWidth="1"/>
    <col min="4" max="4" width="19.7265625" customWidth="1"/>
    <col min="5" max="5" width="25.90625" customWidth="1"/>
  </cols>
  <sheetData>
    <row r="2" spans="2:5" ht="15" thickBot="1" x14ac:dyDescent="0.4"/>
    <row r="3" spans="2:5" ht="15" thickTop="1" x14ac:dyDescent="0.35">
      <c r="B3" s="8" t="s">
        <v>1</v>
      </c>
      <c r="C3" s="9" t="s">
        <v>19</v>
      </c>
      <c r="D3" s="9" t="s">
        <v>15</v>
      </c>
      <c r="E3" s="18" t="s">
        <v>16</v>
      </c>
    </row>
    <row r="4" spans="2:5" ht="58" x14ac:dyDescent="0.35">
      <c r="B4" s="1">
        <v>1</v>
      </c>
      <c r="C4" s="2" t="s">
        <v>20</v>
      </c>
      <c r="D4" s="16" t="s">
        <v>17</v>
      </c>
      <c r="E4" s="3"/>
    </row>
    <row r="5" spans="2:5" ht="87" x14ac:dyDescent="0.35">
      <c r="B5" s="1">
        <v>2</v>
      </c>
      <c r="C5" s="2" t="s">
        <v>21</v>
      </c>
      <c r="D5" s="16" t="s">
        <v>0</v>
      </c>
      <c r="E5" s="3"/>
    </row>
    <row r="6" spans="2:5" x14ac:dyDescent="0.35">
      <c r="B6" s="19"/>
      <c r="C6" s="20" t="s">
        <v>22</v>
      </c>
      <c r="D6" s="21"/>
      <c r="E6" s="22"/>
    </row>
    <row r="7" spans="2:5" ht="72.5" x14ac:dyDescent="0.35">
      <c r="B7" s="1">
        <v>3</v>
      </c>
      <c r="C7" s="2" t="s">
        <v>23</v>
      </c>
      <c r="D7" s="16" t="s">
        <v>18</v>
      </c>
      <c r="E7" s="3"/>
    </row>
    <row r="8" spans="2:5" ht="72.5" x14ac:dyDescent="0.35">
      <c r="B8" s="1">
        <v>4</v>
      </c>
      <c r="C8" s="2" t="s">
        <v>24</v>
      </c>
      <c r="D8" s="16" t="s">
        <v>18</v>
      </c>
      <c r="E8" s="3"/>
    </row>
    <row r="9" spans="2:5" x14ac:dyDescent="0.35">
      <c r="B9" s="1">
        <v>5</v>
      </c>
      <c r="C9" s="16" t="s">
        <v>25</v>
      </c>
      <c r="D9" s="16"/>
      <c r="E9" s="3"/>
    </row>
    <row r="10" spans="2:5" x14ac:dyDescent="0.35">
      <c r="B10" s="1"/>
      <c r="C10" s="16"/>
      <c r="D10" s="16"/>
      <c r="E10" s="3"/>
    </row>
    <row r="11" spans="2:5" ht="15" thickBot="1" x14ac:dyDescent="0.4">
      <c r="B11" s="5"/>
      <c r="C11" s="17"/>
      <c r="D11" s="17"/>
      <c r="E11" s="7"/>
    </row>
    <row r="12" spans="2:5" ht="15" thickTop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5C13B-AAB5-4A32-BAA8-91001D223BF5}">
  <dimension ref="B2:G27"/>
  <sheetViews>
    <sheetView topLeftCell="A8" workbookViewId="0">
      <selection activeCell="B26" sqref="B26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/>
    <row r="3" spans="2:7" ht="15" thickTop="1" x14ac:dyDescent="0.35">
      <c r="B3" s="8" t="s">
        <v>1</v>
      </c>
      <c r="C3" s="9" t="s">
        <v>26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30</v>
      </c>
      <c r="D4" s="21"/>
      <c r="E4" s="26"/>
      <c r="F4" s="26"/>
      <c r="G4" s="22"/>
    </row>
    <row r="5" spans="2:7" x14ac:dyDescent="0.35">
      <c r="B5" s="1"/>
      <c r="C5" s="2" t="s">
        <v>31</v>
      </c>
      <c r="D5" s="16"/>
      <c r="E5" s="24"/>
      <c r="F5" s="24"/>
      <c r="G5" s="3"/>
    </row>
    <row r="6" spans="2:7" ht="29" x14ac:dyDescent="0.35">
      <c r="B6" s="1"/>
      <c r="C6" s="2" t="s">
        <v>32</v>
      </c>
      <c r="D6" s="16"/>
      <c r="E6" s="24"/>
      <c r="F6" s="24"/>
      <c r="G6" s="3"/>
    </row>
    <row r="7" spans="2:7" x14ac:dyDescent="0.35">
      <c r="B7" s="1"/>
      <c r="C7" s="2" t="s">
        <v>33</v>
      </c>
      <c r="D7" s="16"/>
      <c r="E7" s="24"/>
      <c r="F7" s="24"/>
      <c r="G7" s="3"/>
    </row>
    <row r="8" spans="2:7" x14ac:dyDescent="0.35">
      <c r="B8" s="1"/>
      <c r="C8" s="2" t="s">
        <v>34</v>
      </c>
      <c r="D8" s="16"/>
      <c r="E8" s="24"/>
      <c r="F8" s="24"/>
      <c r="G8" s="3"/>
    </row>
    <row r="9" spans="2:7" ht="29" x14ac:dyDescent="0.35">
      <c r="B9" s="1"/>
      <c r="C9" s="2" t="s">
        <v>35</v>
      </c>
      <c r="D9" s="16"/>
      <c r="E9" s="24"/>
      <c r="F9" s="24"/>
      <c r="G9" s="3"/>
    </row>
    <row r="10" spans="2:7" x14ac:dyDescent="0.35">
      <c r="B10" s="1"/>
      <c r="C10" s="2"/>
      <c r="D10" s="16"/>
      <c r="E10" s="24"/>
      <c r="F10" s="24"/>
      <c r="G10" s="3"/>
    </row>
    <row r="11" spans="2:7" ht="29" x14ac:dyDescent="0.35">
      <c r="B11" s="19">
        <v>2</v>
      </c>
      <c r="C11" s="20" t="s">
        <v>36</v>
      </c>
      <c r="D11" s="21"/>
      <c r="E11" s="26"/>
      <c r="F11" s="26"/>
      <c r="G11" s="22"/>
    </row>
    <row r="12" spans="2:7" x14ac:dyDescent="0.35">
      <c r="B12" s="1"/>
      <c r="C12" s="2" t="s">
        <v>37</v>
      </c>
      <c r="D12" s="16"/>
      <c r="E12" s="24"/>
      <c r="F12" s="24"/>
      <c r="G12" s="3"/>
    </row>
    <row r="13" spans="2:7" x14ac:dyDescent="0.35">
      <c r="B13" s="1"/>
      <c r="C13" s="2" t="s">
        <v>38</v>
      </c>
      <c r="D13" s="16"/>
      <c r="E13" s="24"/>
      <c r="F13" s="24"/>
      <c r="G13" s="3"/>
    </row>
    <row r="14" spans="2:7" x14ac:dyDescent="0.35">
      <c r="B14" s="1"/>
      <c r="C14" s="2" t="s">
        <v>39</v>
      </c>
      <c r="D14" s="16"/>
      <c r="E14" s="24"/>
      <c r="F14" s="24"/>
      <c r="G14" s="3"/>
    </row>
    <row r="15" spans="2:7" x14ac:dyDescent="0.35">
      <c r="B15" s="1"/>
      <c r="C15" s="2" t="s">
        <v>40</v>
      </c>
      <c r="D15" s="16"/>
      <c r="E15" s="24"/>
      <c r="F15" s="24"/>
      <c r="G15" s="3"/>
    </row>
    <row r="16" spans="2:7" ht="29" x14ac:dyDescent="0.35">
      <c r="B16" s="19">
        <v>3</v>
      </c>
      <c r="C16" s="20" t="s">
        <v>41</v>
      </c>
      <c r="D16" s="21"/>
      <c r="E16" s="26"/>
      <c r="F16" s="26"/>
      <c r="G16" s="22"/>
    </row>
    <row r="17" spans="2:7" x14ac:dyDescent="0.35">
      <c r="B17" s="1"/>
      <c r="C17" s="2" t="s">
        <v>42</v>
      </c>
      <c r="D17" s="16"/>
      <c r="E17" s="24"/>
      <c r="F17" s="24"/>
      <c r="G17" s="3"/>
    </row>
    <row r="18" spans="2:7" x14ac:dyDescent="0.35">
      <c r="B18" s="1"/>
      <c r="C18" s="2" t="s">
        <v>43</v>
      </c>
      <c r="D18" s="16"/>
      <c r="E18" s="24"/>
      <c r="F18" s="24"/>
      <c r="G18" s="3"/>
    </row>
    <row r="19" spans="2:7" x14ac:dyDescent="0.35">
      <c r="B19" s="1"/>
      <c r="C19" s="2" t="s">
        <v>44</v>
      </c>
      <c r="D19" s="16"/>
      <c r="E19" s="24"/>
      <c r="F19" s="24"/>
      <c r="G19" s="3"/>
    </row>
    <row r="20" spans="2:7" ht="29" x14ac:dyDescent="0.35">
      <c r="B20" s="19">
        <v>4</v>
      </c>
      <c r="C20" s="20" t="s">
        <v>45</v>
      </c>
      <c r="D20" s="21"/>
      <c r="E20" s="26"/>
      <c r="F20" s="26"/>
      <c r="G20" s="22"/>
    </row>
    <row r="21" spans="2:7" ht="43.5" x14ac:dyDescent="0.35">
      <c r="B21" s="1"/>
      <c r="C21" s="2" t="s">
        <v>47</v>
      </c>
      <c r="D21" s="16"/>
      <c r="E21" s="24"/>
      <c r="F21" s="24"/>
      <c r="G21" s="3"/>
    </row>
    <row r="22" spans="2:7" x14ac:dyDescent="0.35">
      <c r="B22" s="1"/>
      <c r="C22" s="2" t="s">
        <v>46</v>
      </c>
      <c r="D22" s="16"/>
      <c r="E22" s="24"/>
      <c r="F22" s="24"/>
      <c r="G22" s="3"/>
    </row>
    <row r="23" spans="2:7" x14ac:dyDescent="0.35">
      <c r="B23" s="1"/>
      <c r="C23" s="2"/>
      <c r="D23" s="16"/>
      <c r="E23" s="24"/>
      <c r="F23" s="24"/>
      <c r="G23" s="3"/>
    </row>
    <row r="24" spans="2:7" x14ac:dyDescent="0.35">
      <c r="B24" s="1"/>
      <c r="C24" s="16"/>
      <c r="D24" s="16"/>
      <c r="E24" s="24"/>
      <c r="F24" s="24"/>
      <c r="G24" s="3"/>
    </row>
    <row r="25" spans="2:7" x14ac:dyDescent="0.35">
      <c r="B25" s="1"/>
      <c r="C25" s="16"/>
      <c r="D25" s="16"/>
      <c r="E25" s="24"/>
      <c r="F25" s="24"/>
      <c r="G25" s="3"/>
    </row>
    <row r="26" spans="2:7" ht="15" thickBot="1" x14ac:dyDescent="0.4">
      <c r="B26" s="5"/>
      <c r="C26" s="17"/>
      <c r="D26" s="17"/>
      <c r="E26" s="25"/>
      <c r="F26" s="25"/>
      <c r="G26" s="7"/>
    </row>
    <row r="27" spans="2:7" ht="15" thickTop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A998-D9BF-4FA8-B259-FBC0B73F6D81}">
  <dimension ref="B2:G25"/>
  <sheetViews>
    <sheetView topLeftCell="A2" workbookViewId="0">
      <selection activeCell="C13" sqref="C13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>
      <c r="B2" s="27" t="s">
        <v>48</v>
      </c>
      <c r="C2" s="27"/>
      <c r="D2" s="27"/>
      <c r="E2" s="27"/>
      <c r="F2" s="27"/>
      <c r="G2" s="27"/>
    </row>
    <row r="3" spans="2:7" ht="15" thickTop="1" x14ac:dyDescent="0.35">
      <c r="B3" s="8" t="s">
        <v>1</v>
      </c>
      <c r="C3" s="9" t="s">
        <v>29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49</v>
      </c>
      <c r="D4" s="21"/>
      <c r="E4" s="26"/>
      <c r="F4" s="26"/>
      <c r="G4" s="22"/>
    </row>
    <row r="5" spans="2:7" x14ac:dyDescent="0.35">
      <c r="B5" s="1"/>
      <c r="C5" s="2" t="s">
        <v>50</v>
      </c>
      <c r="D5" s="16"/>
      <c r="E5" s="24"/>
      <c r="F5" s="24"/>
      <c r="G5" s="3"/>
    </row>
    <row r="6" spans="2:7" x14ac:dyDescent="0.35">
      <c r="B6" s="1"/>
      <c r="C6" s="2" t="s">
        <v>51</v>
      </c>
      <c r="D6" s="16"/>
      <c r="E6" s="24"/>
      <c r="F6" s="24"/>
      <c r="G6" s="3"/>
    </row>
    <row r="7" spans="2:7" x14ac:dyDescent="0.35">
      <c r="B7" s="1"/>
      <c r="C7" s="2" t="s">
        <v>52</v>
      </c>
      <c r="D7" s="16"/>
      <c r="E7" s="24"/>
      <c r="F7" s="24"/>
      <c r="G7" s="3"/>
    </row>
    <row r="8" spans="2:7" ht="29" x14ac:dyDescent="0.35">
      <c r="B8" s="19">
        <v>2</v>
      </c>
      <c r="C8" s="20" t="s">
        <v>53</v>
      </c>
      <c r="D8" s="21"/>
      <c r="E8" s="26"/>
      <c r="F8" s="26"/>
      <c r="G8" s="22"/>
    </row>
    <row r="9" spans="2:7" x14ac:dyDescent="0.35">
      <c r="B9" s="1"/>
      <c r="C9" s="2" t="s">
        <v>54</v>
      </c>
      <c r="D9" s="16"/>
      <c r="E9" s="24"/>
      <c r="F9" s="24"/>
      <c r="G9" s="3"/>
    </row>
    <row r="10" spans="2:7" x14ac:dyDescent="0.35">
      <c r="B10" s="1"/>
      <c r="C10" s="2" t="s">
        <v>55</v>
      </c>
      <c r="D10" s="16"/>
      <c r="E10" s="24"/>
      <c r="F10" s="24"/>
      <c r="G10" s="3"/>
    </row>
    <row r="11" spans="2:7" x14ac:dyDescent="0.35">
      <c r="B11" s="1"/>
      <c r="C11" s="2" t="s">
        <v>56</v>
      </c>
      <c r="D11" s="16"/>
      <c r="E11" s="24"/>
      <c r="F11" s="24"/>
      <c r="G11" s="3"/>
    </row>
    <row r="12" spans="2:7" x14ac:dyDescent="0.35">
      <c r="B12" s="19">
        <v>3</v>
      </c>
      <c r="C12" s="20" t="s">
        <v>57</v>
      </c>
      <c r="D12" s="21"/>
      <c r="E12" s="26"/>
      <c r="F12" s="26"/>
      <c r="G12" s="22"/>
    </row>
    <row r="13" spans="2:7" x14ac:dyDescent="0.35">
      <c r="B13" s="1"/>
      <c r="C13" s="2" t="s">
        <v>52</v>
      </c>
      <c r="D13" s="16"/>
      <c r="E13" s="24"/>
      <c r="F13" s="24"/>
      <c r="G13" s="3"/>
    </row>
    <row r="14" spans="2:7" x14ac:dyDescent="0.35">
      <c r="B14" s="1"/>
      <c r="C14" s="2" t="s">
        <v>58</v>
      </c>
      <c r="D14" s="16"/>
      <c r="E14" s="24"/>
      <c r="F14" s="24"/>
      <c r="G14" s="3"/>
    </row>
    <row r="15" spans="2:7" x14ac:dyDescent="0.35">
      <c r="B15" s="1"/>
      <c r="C15" s="2" t="s">
        <v>59</v>
      </c>
      <c r="D15" s="16"/>
      <c r="E15" s="24"/>
      <c r="F15" s="24"/>
      <c r="G15" s="3"/>
    </row>
    <row r="16" spans="2:7" x14ac:dyDescent="0.35">
      <c r="B16" s="19">
        <v>4</v>
      </c>
      <c r="C16" s="20" t="s">
        <v>60</v>
      </c>
      <c r="D16" s="21"/>
      <c r="E16" s="26"/>
      <c r="F16" s="26"/>
      <c r="G16" s="22"/>
    </row>
    <row r="17" spans="2:7" x14ac:dyDescent="0.35">
      <c r="B17" s="1"/>
      <c r="C17" s="2" t="s">
        <v>61</v>
      </c>
      <c r="D17" s="16"/>
      <c r="E17" s="24"/>
      <c r="F17" s="24"/>
      <c r="G17" s="3"/>
    </row>
    <row r="18" spans="2:7" x14ac:dyDescent="0.35">
      <c r="B18" s="1"/>
      <c r="C18" s="2" t="s">
        <v>62</v>
      </c>
      <c r="D18" s="16"/>
      <c r="E18" s="24"/>
      <c r="F18" s="24"/>
      <c r="G18" s="3"/>
    </row>
    <row r="19" spans="2:7" x14ac:dyDescent="0.35">
      <c r="B19" s="1"/>
      <c r="C19" s="2" t="s">
        <v>63</v>
      </c>
      <c r="D19" s="16"/>
      <c r="E19" s="24"/>
      <c r="F19" s="24"/>
      <c r="G19" s="3"/>
    </row>
    <row r="20" spans="2:7" x14ac:dyDescent="0.35">
      <c r="B20" s="1"/>
      <c r="C20" s="2" t="s">
        <v>64</v>
      </c>
      <c r="D20" s="16"/>
      <c r="E20" s="24"/>
      <c r="F20" s="24"/>
      <c r="G20" s="3"/>
    </row>
    <row r="21" spans="2:7" x14ac:dyDescent="0.35">
      <c r="B21" s="1"/>
      <c r="C21" s="2"/>
      <c r="D21" s="16"/>
      <c r="E21" s="24"/>
      <c r="F21" s="24"/>
      <c r="G21" s="3"/>
    </row>
    <row r="22" spans="2:7" x14ac:dyDescent="0.35">
      <c r="B22" s="1"/>
      <c r="C22" s="16"/>
      <c r="D22" s="16"/>
      <c r="E22" s="24"/>
      <c r="F22" s="24"/>
      <c r="G22" s="3"/>
    </row>
    <row r="23" spans="2:7" x14ac:dyDescent="0.35">
      <c r="B23" s="1"/>
      <c r="C23" s="16"/>
      <c r="D23" s="16"/>
      <c r="E23" s="24"/>
      <c r="F23" s="24"/>
      <c r="G23" s="3"/>
    </row>
    <row r="24" spans="2:7" ht="15" thickBot="1" x14ac:dyDescent="0.4">
      <c r="B24" s="5"/>
      <c r="C24" s="17"/>
      <c r="D24" s="17"/>
      <c r="E24" s="25"/>
      <c r="F24" s="25"/>
      <c r="G24" s="7"/>
    </row>
    <row r="25" spans="2:7" ht="15" thickTop="1" x14ac:dyDescent="0.35"/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IterativeDesign</vt:lpstr>
      <vt:lpstr>Iteration1_Evals</vt:lpstr>
      <vt:lpstr>Iteration2_Evals</vt:lpstr>
      <vt:lpstr>Iteration3_Evals</vt:lpstr>
      <vt:lpstr>AgentResources</vt:lpstr>
      <vt:lpstr>EvaluationMetrics</vt:lpstr>
      <vt:lpstr>OperationalMetrics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</dc:creator>
  <cp:lastModifiedBy>RK Rao</cp:lastModifiedBy>
  <dcterms:created xsi:type="dcterms:W3CDTF">2015-06-05T18:17:20Z</dcterms:created>
  <dcterms:modified xsi:type="dcterms:W3CDTF">2025-11-04T12:02:49Z</dcterms:modified>
</cp:coreProperties>
</file>